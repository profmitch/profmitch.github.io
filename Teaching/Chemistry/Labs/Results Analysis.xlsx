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Mavigozler GitHub\mavigozler.github.io\Teaching\Chemistry\Labs\"/>
    </mc:Choice>
  </mc:AlternateContent>
  <xr:revisionPtr revIDLastSave="0" documentId="13_ncr:1_{D24AFD04-4C22-4690-972F-7E00E2180B83}" xr6:coauthVersionLast="47" xr6:coauthVersionMax="47" xr10:uidLastSave="{00000000-0000-0000-0000-000000000000}"/>
  <bookViews>
    <workbookView xWindow="20790" yWindow="570" windowWidth="16455" windowHeight="18015" xr2:uid="{452B24C7-6FD7-4A04-B20C-8129FC128E4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6" i="1" l="1"/>
  <c r="E7" i="1" s="1"/>
  <c r="E2" i="1"/>
  <c r="E3" i="1"/>
  <c r="E5" i="1" s="1"/>
  <c r="E72" i="1"/>
  <c r="E70" i="1"/>
  <c r="H59" i="1"/>
  <c r="H65" i="1" s="1"/>
  <c r="E59" i="1"/>
  <c r="E65" i="1" s="1"/>
  <c r="E57" i="1"/>
  <c r="E63" i="1" s="1"/>
  <c r="F29" i="1"/>
  <c r="G29" i="1"/>
  <c r="F38" i="1"/>
  <c r="F39" i="1" s="1"/>
  <c r="F40" i="1" s="1"/>
  <c r="F36" i="1"/>
  <c r="F35" i="1"/>
  <c r="G31" i="1"/>
  <c r="F31" i="1"/>
  <c r="B18" i="1"/>
  <c r="B17" i="1"/>
  <c r="B52" i="1"/>
  <c r="B53" i="1" s="1"/>
  <c r="B51" i="1"/>
  <c r="B91" i="1"/>
  <c r="C91" i="1"/>
  <c r="D91" i="1"/>
  <c r="C83" i="1"/>
  <c r="D83" i="1"/>
  <c r="B83" i="1"/>
  <c r="C82" i="1"/>
  <c r="D82" i="1"/>
  <c r="B82" i="1"/>
  <c r="B24" i="1" l="1"/>
  <c r="E4" i="1"/>
  <c r="E71" i="1"/>
  <c r="E73" i="1" s="1"/>
  <c r="E60" i="1"/>
  <c r="E62" i="1"/>
  <c r="E58" i="1"/>
  <c r="F37" i="1"/>
  <c r="F41" i="1" s="1"/>
  <c r="G32" i="1"/>
  <c r="G33" i="1" s="1"/>
  <c r="F32" i="1"/>
  <c r="F33" i="1" s="1"/>
  <c r="B19" i="1"/>
  <c r="B20" i="1"/>
  <c r="B54" i="1"/>
  <c r="B55" i="1" s="1"/>
  <c r="D84" i="1"/>
  <c r="C84" i="1"/>
  <c r="B84" i="1"/>
  <c r="B21" i="1" l="1"/>
  <c r="B25" i="1"/>
  <c r="B85" i="1"/>
  <c r="C92" i="1" s="1"/>
  <c r="C93" i="1" s="1"/>
  <c r="E64" i="1"/>
  <c r="E61" i="1"/>
  <c r="H60" i="1"/>
  <c r="B23" i="1"/>
  <c r="B22" i="1"/>
  <c r="H61" i="1" l="1"/>
  <c r="H57" i="1"/>
  <c r="H62" i="1" s="1"/>
  <c r="B92" i="1"/>
  <c r="B93" i="1" s="1"/>
  <c r="D92" i="1"/>
  <c r="D93" i="1" s="1"/>
  <c r="H58" i="1" l="1"/>
  <c r="H64" i="1" s="1"/>
  <c r="H63" i="1"/>
  <c r="B94" i="1"/>
  <c r="B95" i="1" s="1"/>
</calcChain>
</file>

<file path=xl/sharedStrings.xml><?xml version="1.0" encoding="utf-8"?>
<sst xmlns="http://schemas.openxmlformats.org/spreadsheetml/2006/main" count="122" uniqueCount="117">
  <si>
    <t>12b</t>
  </si>
  <si>
    <t>HOOCCOOH MM</t>
  </si>
  <si>
    <t>OAA mass (g)</t>
  </si>
  <si>
    <t>Init Buret NaOH mL</t>
  </si>
  <si>
    <t>Fin Buret NaOH mL</t>
  </si>
  <si>
    <t>mol NaOH</t>
  </si>
  <si>
    <t>Net vol NaOH L</t>
  </si>
  <si>
    <t>NaOH molarity</t>
  </si>
  <si>
    <t>Average molarity</t>
  </si>
  <si>
    <t>Vol 6 Down mL</t>
  </si>
  <si>
    <t>Vol NaOH use (L)</t>
  </si>
  <si>
    <t>mol citric acid</t>
  </si>
  <si>
    <t>average molarity</t>
  </si>
  <si>
    <t>Molarity citric acid</t>
  </si>
  <si>
    <t>gram citric acid</t>
  </si>
  <si>
    <t>8a</t>
  </si>
  <si>
    <t>predicted H2 moles</t>
  </si>
  <si>
    <t>Mg ribbon mass (g)</t>
  </si>
  <si>
    <t>mmHg H2O vapor</t>
  </si>
  <si>
    <t>lab barometer (mmHg)</t>
  </si>
  <si>
    <t>H2 gas pressure (mmHg)</t>
  </si>
  <si>
    <t>H2 gas pressure (atm)</t>
  </si>
  <si>
    <t>calculated R (L atm/mol K)</t>
  </si>
  <si>
    <t>water temp (°C)</t>
  </si>
  <si>
    <t>Eudiometer volume (mL)</t>
  </si>
  <si>
    <t>5a</t>
  </si>
  <si>
    <t>Ratio O</t>
  </si>
  <si>
    <t>7a</t>
  </si>
  <si>
    <t>calorimeter mass (g)</t>
  </si>
  <si>
    <t>init T</t>
  </si>
  <si>
    <t>final T</t>
  </si>
  <si>
    <t>calorimeter mass + soln (g)</t>
  </si>
  <si>
    <t>citric acid</t>
  </si>
  <si>
    <t>Na2CO3</t>
  </si>
  <si>
    <t>calor + water (g)</t>
  </si>
  <si>
    <t>Final T</t>
  </si>
  <si>
    <t>mass calor + water + ice</t>
  </si>
  <si>
    <t>soln mass</t>
  </si>
  <si>
    <t>Temp change</t>
  </si>
  <si>
    <t>q-solution (J)</t>
  </si>
  <si>
    <t>H2O mass</t>
  </si>
  <si>
    <t>temp change</t>
  </si>
  <si>
    <t>q-water</t>
  </si>
  <si>
    <t>ice mass</t>
  </si>
  <si>
    <t>moles ice</t>
  </si>
  <si>
    <t>q-water + q-ice</t>
  </si>
  <si>
    <t>q-reaction</t>
  </si>
  <si>
    <t>q-ice (J)</t>
  </si>
  <si>
    <t>9a</t>
  </si>
  <si>
    <t>mass flask+ stopper</t>
  </si>
  <si>
    <t>mass flask+stopper+NaCl</t>
  </si>
  <si>
    <t>mass flask/stopper/Soln A</t>
  </si>
  <si>
    <t>mass 25flask/stopper</t>
  </si>
  <si>
    <t>mass25flask+Soln B</t>
  </si>
  <si>
    <t>vol soln A for soln B</t>
  </si>
  <si>
    <t>mass Soln A solute</t>
  </si>
  <si>
    <t>mass solution A</t>
  </si>
  <si>
    <t>mass solvent soln A</t>
  </si>
  <si>
    <t>mole solute soln A</t>
  </si>
  <si>
    <t>molarity soln A</t>
  </si>
  <si>
    <t>molality soln A</t>
  </si>
  <si>
    <t>m/v % soln A</t>
  </si>
  <si>
    <t>density soln A</t>
  </si>
  <si>
    <t>mole solute 10.00 mL soln A</t>
  </si>
  <si>
    <t>mass solvent Soln B</t>
  </si>
  <si>
    <t>mass solute  of Soln B</t>
  </si>
  <si>
    <t>mass solution Soln B</t>
  </si>
  <si>
    <t>molarity Soln B</t>
  </si>
  <si>
    <t>m/m % Soln B</t>
  </si>
  <si>
    <t>molality Soln B</t>
  </si>
  <si>
    <t>m/v% Soln B</t>
  </si>
  <si>
    <t>density Soln B</t>
  </si>
  <si>
    <t>mol solute Soln B</t>
  </si>
  <si>
    <t>m/m % soln A</t>
  </si>
  <si>
    <t>11a Alum</t>
  </si>
  <si>
    <t>mass reaction beaker</t>
  </si>
  <si>
    <t>mass beaker + aluminum</t>
  </si>
  <si>
    <t>mass watch glass</t>
  </si>
  <si>
    <t>mass watch glass + alum</t>
  </si>
  <si>
    <t>mass aluminum</t>
  </si>
  <si>
    <t>theoretical yield</t>
  </si>
  <si>
    <t xml:space="preserve">mass alum </t>
  </si>
  <si>
    <t>% yield</t>
  </si>
  <si>
    <t>aluminum molar mass</t>
  </si>
  <si>
    <t>alum molar mass</t>
  </si>
  <si>
    <t>citric acid MM</t>
  </si>
  <si>
    <t>bar mass (g)</t>
  </si>
  <si>
    <t>bar length / diameter (cm)</t>
  </si>
  <si>
    <t>bar height (cm)</t>
  </si>
  <si>
    <t>bar width (cm)</t>
  </si>
  <si>
    <t>bar init water vol (mL)</t>
  </si>
  <si>
    <t>bar final water vol (mL)</t>
  </si>
  <si>
    <t>Al shot mass (g)</t>
  </si>
  <si>
    <t>Al shot init water vol (mL)</t>
  </si>
  <si>
    <t>Al shot final water vol (ml)</t>
  </si>
  <si>
    <t>bar vol (cm3)</t>
  </si>
  <si>
    <t>bar water vol (mL)</t>
  </si>
  <si>
    <t>% difference</t>
  </si>
  <si>
    <t>Al shot density (g/mL)</t>
  </si>
  <si>
    <t>bar density (g/mL)</t>
  </si>
  <si>
    <t>Al shot vol (mL)</t>
  </si>
  <si>
    <t>percent error</t>
  </si>
  <si>
    <t>1a</t>
  </si>
  <si>
    <t>1st</t>
  </si>
  <si>
    <t>2nd</t>
  </si>
  <si>
    <t xml:space="preserve"> 1-crucible mass (g)</t>
  </si>
  <si>
    <t xml:space="preserve"> 2-crucible + Mg (g)</t>
  </si>
  <si>
    <t xml:space="preserve"> 3-crucible + MgOxy</t>
  </si>
  <si>
    <t xml:space="preserve"> 4-Mg used (g)</t>
  </si>
  <si>
    <t xml:space="preserve"> 5-MgOxy (g)</t>
  </si>
  <si>
    <t xml:space="preserve"> 6-Oxygen mass (g)</t>
  </si>
  <si>
    <t xml:space="preserve"> 7-mole Mg</t>
  </si>
  <si>
    <t xml:space="preserve"> 8-mole O</t>
  </si>
  <si>
    <t xml:space="preserve"> 9.10-Ratio Mg</t>
  </si>
  <si>
    <t>11-% comp Mg</t>
  </si>
  <si>
    <t>12-% comp O</t>
  </si>
  <si>
    <t>inserted calculations checker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</si>
</sst>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0.000"/>
    <numFmt numFmtId="165" formatCode="0.0000"/>
    <numFmt numFmtId="166" formatCode="0.000000"/>
    <numFmt numFmtId="167" formatCode="0.00000"/>
    <numFmt numFmtId="168" formatCode="0.0"/>
    <numFmt numFmtId="169" formatCode="0.000%"/>
  </numFmts>
  <fonts count="3" x14ac:knownFonts="1">
    <font>
      <sz val="11"/>
      <color theme="1"/>
      <name val="Aptos Narrow"/>
      <family val="2"/>
      <scheme val="minor"/>
    </font>
    <font>
      <b/>
      <sz val="16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11">
    <border>
      <left/>
      <right/>
      <top/>
      <bottom/>
      <diagonal/>
    </border>
    <border>
      <left style="thick">
        <color auto="1"/>
      </left>
      <right style="thick">
        <color auto="1"/>
      </right>
      <top style="thick">
        <color auto="1"/>
      </top>
      <bottom/>
      <diagonal/>
    </border>
    <border>
      <left style="thick">
        <color auto="1"/>
      </left>
      <right style="thick">
        <color auto="1"/>
      </right>
      <top/>
      <bottom/>
      <diagonal/>
    </border>
    <border>
      <left style="thick">
        <color auto="1"/>
      </left>
      <right style="thick">
        <color auto="1"/>
      </right>
      <top/>
      <bottom style="thick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/>
      <top style="medium">
        <color auto="1"/>
      </top>
      <bottom/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32">
    <xf numFmtId="0" fontId="0" fillId="0" borderId="0" xfId="0"/>
    <xf numFmtId="0" fontId="0" fillId="0" borderId="0" xfId="0" applyAlignment="1">
      <alignment horizontal="right"/>
    </xf>
    <xf numFmtId="2" fontId="0" fillId="0" borderId="0" xfId="0" applyNumberFormat="1"/>
    <xf numFmtId="0" fontId="0" fillId="2" borderId="0" xfId="0" applyFill="1"/>
    <xf numFmtId="165" fontId="0" fillId="2" borderId="0" xfId="0" applyNumberFormat="1" applyFill="1"/>
    <xf numFmtId="167" fontId="0" fillId="2" borderId="0" xfId="0" applyNumberFormat="1" applyFill="1"/>
    <xf numFmtId="166" fontId="0" fillId="2" borderId="0" xfId="0" applyNumberFormat="1" applyFill="1"/>
    <xf numFmtId="164" fontId="0" fillId="2" borderId="0" xfId="0" applyNumberFormat="1" applyFill="1"/>
    <xf numFmtId="166" fontId="0" fillId="0" borderId="0" xfId="0" applyNumberFormat="1"/>
    <xf numFmtId="165" fontId="0" fillId="0" borderId="0" xfId="0" applyNumberFormat="1"/>
    <xf numFmtId="164" fontId="0" fillId="0" borderId="0" xfId="0" applyNumberFormat="1"/>
    <xf numFmtId="168" fontId="0" fillId="0" borderId="0" xfId="0" applyNumberFormat="1"/>
    <xf numFmtId="167" fontId="0" fillId="0" borderId="0" xfId="0" applyNumberFormat="1"/>
    <xf numFmtId="1" fontId="0" fillId="0" borderId="0" xfId="0" applyNumberFormat="1"/>
    <xf numFmtId="11" fontId="0" fillId="2" borderId="0" xfId="0" applyNumberFormat="1" applyFill="1"/>
    <xf numFmtId="166" fontId="0" fillId="2" borderId="1" xfId="0" applyNumberFormat="1" applyFill="1" applyBorder="1"/>
    <xf numFmtId="165" fontId="0" fillId="2" borderId="1" xfId="0" applyNumberFormat="1" applyFill="1" applyBorder="1"/>
    <xf numFmtId="11" fontId="0" fillId="2" borderId="2" xfId="0" applyNumberFormat="1" applyFill="1" applyBorder="1"/>
    <xf numFmtId="167" fontId="0" fillId="2" borderId="3" xfId="0" applyNumberFormat="1" applyFill="1" applyBorder="1"/>
    <xf numFmtId="0" fontId="1" fillId="0" borderId="0" xfId="0" applyFont="1"/>
    <xf numFmtId="165" fontId="0" fillId="3" borderId="0" xfId="0" applyNumberFormat="1" applyFill="1"/>
    <xf numFmtId="2" fontId="0" fillId="3" borderId="0" xfId="0" applyNumberFormat="1" applyFill="1"/>
    <xf numFmtId="167" fontId="0" fillId="2" borderId="2" xfId="0" applyNumberFormat="1" applyFill="1" applyBorder="1"/>
    <xf numFmtId="169" fontId="0" fillId="0" borderId="0" xfId="1" applyNumberFormat="1" applyFont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10" fontId="0" fillId="0" borderId="0" xfId="1" applyNumberFormat="1" applyFont="1"/>
    <xf numFmtId="0" fontId="0" fillId="0" borderId="10" xfId="0" applyBorder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00DA2F-89DC-4B22-B712-F9A4375B8FCF}">
  <dimension ref="A1:I95"/>
  <sheetViews>
    <sheetView tabSelected="1" topLeftCell="A6" workbookViewId="0">
      <selection activeCell="D9" sqref="D9"/>
    </sheetView>
  </sheetViews>
  <sheetFormatPr defaultRowHeight="15" x14ac:dyDescent="0.25"/>
  <cols>
    <col min="1" max="1" width="25.5703125" customWidth="1"/>
    <col min="2" max="4" width="10.28515625" customWidth="1"/>
    <col min="5" max="5" width="14.28515625" customWidth="1"/>
    <col min="6" max="6" width="10.28515625" customWidth="1"/>
    <col min="7" max="7" width="12.5703125" customWidth="1"/>
  </cols>
  <sheetData>
    <row r="1" spans="1:5" ht="21" x14ac:dyDescent="0.35">
      <c r="A1" s="19" t="s">
        <v>102</v>
      </c>
    </row>
    <row r="2" spans="1:5" x14ac:dyDescent="0.25">
      <c r="A2" t="s">
        <v>86</v>
      </c>
      <c r="B2">
        <v>20.91</v>
      </c>
      <c r="D2" s="1" t="s">
        <v>95</v>
      </c>
      <c r="E2">
        <f>IF(ISBLANK(B5), (B3/2)^2*B4, B3*B4*B5)</f>
        <v>6.75</v>
      </c>
    </row>
    <row r="3" spans="1:5" x14ac:dyDescent="0.25">
      <c r="A3" t="s">
        <v>87</v>
      </c>
      <c r="B3">
        <v>1.8</v>
      </c>
      <c r="D3" s="1" t="s">
        <v>96</v>
      </c>
      <c r="E3" s="11">
        <f>B7-B6</f>
        <v>7</v>
      </c>
    </row>
    <row r="4" spans="1:5" x14ac:dyDescent="0.25">
      <c r="A4" t="s">
        <v>88</v>
      </c>
      <c r="B4">
        <v>2.5</v>
      </c>
      <c r="D4" s="1" t="s">
        <v>97</v>
      </c>
      <c r="E4" s="11">
        <f>(E2-E3)/E3*100</f>
        <v>-3.5714285714285712</v>
      </c>
    </row>
    <row r="5" spans="1:5" x14ac:dyDescent="0.25">
      <c r="A5" t="s">
        <v>89</v>
      </c>
      <c r="B5">
        <v>1.5</v>
      </c>
      <c r="D5" s="1" t="s">
        <v>99</v>
      </c>
      <c r="E5" s="11">
        <f>B2/E3</f>
        <v>2.9871428571428571</v>
      </c>
    </row>
    <row r="6" spans="1:5" x14ac:dyDescent="0.25">
      <c r="A6" t="s">
        <v>90</v>
      </c>
      <c r="B6">
        <v>43</v>
      </c>
      <c r="D6" s="1" t="s">
        <v>100</v>
      </c>
      <c r="E6">
        <f>B10-B9</f>
        <v>4.5</v>
      </c>
    </row>
    <row r="7" spans="1:5" x14ac:dyDescent="0.25">
      <c r="A7" t="s">
        <v>91</v>
      </c>
      <c r="B7">
        <v>50</v>
      </c>
      <c r="D7" s="1" t="s">
        <v>98</v>
      </c>
      <c r="E7" s="11">
        <f>B8/E6</f>
        <v>2.5177777777777779</v>
      </c>
    </row>
    <row r="8" spans="1:5" x14ac:dyDescent="0.25">
      <c r="A8" t="s">
        <v>92</v>
      </c>
      <c r="B8">
        <v>11.33</v>
      </c>
    </row>
    <row r="9" spans="1:5" x14ac:dyDescent="0.25">
      <c r="A9" t="s">
        <v>93</v>
      </c>
      <c r="B9">
        <v>43</v>
      </c>
    </row>
    <row r="10" spans="1:5" x14ac:dyDescent="0.25">
      <c r="A10" t="s">
        <v>94</v>
      </c>
      <c r="B10">
        <v>47.5</v>
      </c>
    </row>
    <row r="12" spans="1:5" ht="21.75" thickBot="1" x14ac:dyDescent="0.4">
      <c r="A12" s="19" t="s">
        <v>25</v>
      </c>
    </row>
    <row r="13" spans="1:5" x14ac:dyDescent="0.25">
      <c r="A13" s="24" t="s">
        <v>105</v>
      </c>
      <c r="B13" s="25">
        <v>15.963200000000001</v>
      </c>
    </row>
    <row r="14" spans="1:5" x14ac:dyDescent="0.25">
      <c r="A14" s="26" t="s">
        <v>106</v>
      </c>
      <c r="B14" s="27">
        <v>16.109500000000001</v>
      </c>
    </row>
    <row r="15" spans="1:5" x14ac:dyDescent="0.25">
      <c r="A15" s="26" t="s">
        <v>107</v>
      </c>
      <c r="B15" s="27">
        <v>16.190300000000001</v>
      </c>
      <c r="C15" t="s">
        <v>103</v>
      </c>
    </row>
    <row r="16" spans="1:5" ht="15.75" thickBot="1" x14ac:dyDescent="0.3">
      <c r="A16" s="28"/>
      <c r="B16" s="29">
        <v>16.1889</v>
      </c>
      <c r="C16" t="s">
        <v>104</v>
      </c>
    </row>
    <row r="17" spans="1:7" x14ac:dyDescent="0.25">
      <c r="A17" s="31" t="s">
        <v>108</v>
      </c>
      <c r="B17" s="9">
        <f>B14-B13</f>
        <v>0.1463000000000001</v>
      </c>
    </row>
    <row r="18" spans="1:7" x14ac:dyDescent="0.25">
      <c r="A18" t="s">
        <v>109</v>
      </c>
      <c r="B18">
        <f>IF(B15&gt;B16,B15-B13,B16-B13)</f>
        <v>0.22710000000000008</v>
      </c>
    </row>
    <row r="19" spans="1:7" x14ac:dyDescent="0.25">
      <c r="A19" t="s">
        <v>110</v>
      </c>
      <c r="B19" s="9">
        <f>B18-B17</f>
        <v>8.0799999999999983E-2</v>
      </c>
    </row>
    <row r="20" spans="1:7" x14ac:dyDescent="0.25">
      <c r="A20" t="s">
        <v>111</v>
      </c>
      <c r="B20" s="8">
        <f>B17/24.31</f>
        <v>6.0180995475113165E-3</v>
      </c>
    </row>
    <row r="21" spans="1:7" x14ac:dyDescent="0.25">
      <c r="A21" t="s">
        <v>112</v>
      </c>
      <c r="B21">
        <f>B19/16</f>
        <v>5.0499999999999989E-3</v>
      </c>
    </row>
    <row r="22" spans="1:7" x14ac:dyDescent="0.25">
      <c r="A22" t="s">
        <v>113</v>
      </c>
      <c r="B22" s="9">
        <f>IF(B21&lt;B20,B20/B21,1)</f>
        <v>1.1917028806953105</v>
      </c>
    </row>
    <row r="23" spans="1:7" x14ac:dyDescent="0.25">
      <c r="A23" t="s">
        <v>26</v>
      </c>
      <c r="B23">
        <f>IF(B21&lt;B20,1,B21/B20)</f>
        <v>1</v>
      </c>
    </row>
    <row r="24" spans="1:7" x14ac:dyDescent="0.25">
      <c r="A24" t="s">
        <v>114</v>
      </c>
      <c r="B24" s="30">
        <f>B17/B18</f>
        <v>0.64420959929546473</v>
      </c>
    </row>
    <row r="25" spans="1:7" x14ac:dyDescent="0.25">
      <c r="A25" t="s">
        <v>115</v>
      </c>
      <c r="B25" s="30">
        <f>B19/B18</f>
        <v>0.35579040070453527</v>
      </c>
    </row>
    <row r="26" spans="1:7" x14ac:dyDescent="0.25">
      <c r="A26" t="s">
        <v>116</v>
      </c>
      <c r="B26" s="30"/>
    </row>
    <row r="27" spans="1:7" x14ac:dyDescent="0.25">
      <c r="B27" s="2"/>
    </row>
    <row r="28" spans="1:7" ht="21" x14ac:dyDescent="0.35">
      <c r="A28" s="19" t="s">
        <v>27</v>
      </c>
      <c r="B28" s="2" t="s">
        <v>32</v>
      </c>
      <c r="C28" t="s">
        <v>33</v>
      </c>
      <c r="F28" t="s">
        <v>32</v>
      </c>
      <c r="G28" t="s">
        <v>33</v>
      </c>
    </row>
    <row r="29" spans="1:7" x14ac:dyDescent="0.25">
      <c r="A29" t="s">
        <v>28</v>
      </c>
      <c r="B29" s="9">
        <v>3.9685000000000001</v>
      </c>
      <c r="E29" s="1" t="s">
        <v>37</v>
      </c>
      <c r="F29" s="9">
        <f>B32-B29</f>
        <v>54.297899999999998</v>
      </c>
      <c r="G29" s="9">
        <f>C32-B29</f>
        <v>49.585300000000004</v>
      </c>
    </row>
    <row r="30" spans="1:7" x14ac:dyDescent="0.25">
      <c r="A30" t="s">
        <v>29</v>
      </c>
      <c r="B30" s="11">
        <v>26</v>
      </c>
      <c r="C30" s="11">
        <v>25</v>
      </c>
      <c r="E30" s="1"/>
    </row>
    <row r="31" spans="1:7" x14ac:dyDescent="0.25">
      <c r="A31" t="s">
        <v>30</v>
      </c>
      <c r="B31" s="11">
        <v>22</v>
      </c>
      <c r="C31" s="11">
        <v>29</v>
      </c>
      <c r="E31" s="1" t="s">
        <v>38</v>
      </c>
      <c r="F31" s="11">
        <f>B31-B30</f>
        <v>-4</v>
      </c>
      <c r="G31" s="11">
        <f>C31-C30</f>
        <v>4</v>
      </c>
    </row>
    <row r="32" spans="1:7" x14ac:dyDescent="0.25">
      <c r="A32" t="s">
        <v>31</v>
      </c>
      <c r="B32" s="9">
        <v>58.266399999999997</v>
      </c>
      <c r="C32" s="9">
        <v>53.553800000000003</v>
      </c>
      <c r="E32" s="1" t="s">
        <v>39</v>
      </c>
      <c r="F32" s="13">
        <f>F29*F31*4.184</f>
        <v>-908.72965439999996</v>
      </c>
      <c r="G32" s="13">
        <f>G29*G31*4.184</f>
        <v>829.85958080000012</v>
      </c>
    </row>
    <row r="33" spans="1:7" x14ac:dyDescent="0.25">
      <c r="B33" s="2"/>
      <c r="E33" s="1" t="s">
        <v>46</v>
      </c>
      <c r="F33" s="13">
        <f>-F32</f>
        <v>908.72965439999996</v>
      </c>
      <c r="G33" s="13">
        <f>-G32</f>
        <v>-829.85958080000012</v>
      </c>
    </row>
    <row r="34" spans="1:7" x14ac:dyDescent="0.25">
      <c r="B34" s="2"/>
    </row>
    <row r="35" spans="1:7" x14ac:dyDescent="0.25">
      <c r="A35" t="s">
        <v>34</v>
      </c>
      <c r="B35" s="9">
        <v>52.288400000000003</v>
      </c>
      <c r="E35" s="1" t="s">
        <v>40</v>
      </c>
      <c r="F35" s="9">
        <f>B35-B29</f>
        <v>48.319900000000004</v>
      </c>
      <c r="G35" s="2"/>
    </row>
    <row r="36" spans="1:7" x14ac:dyDescent="0.25">
      <c r="A36" t="s">
        <v>29</v>
      </c>
      <c r="B36" s="11">
        <v>25</v>
      </c>
      <c r="E36" s="1" t="s">
        <v>41</v>
      </c>
      <c r="F36" s="11">
        <f>B37-B36</f>
        <v>-16</v>
      </c>
      <c r="G36" s="2"/>
    </row>
    <row r="37" spans="1:7" x14ac:dyDescent="0.25">
      <c r="A37" t="s">
        <v>35</v>
      </c>
      <c r="B37" s="11">
        <v>9</v>
      </c>
      <c r="E37" s="1" t="s">
        <v>42</v>
      </c>
      <c r="F37" s="13">
        <f>4.184*F36*F35</f>
        <v>-3234.7273856000006</v>
      </c>
    </row>
    <row r="38" spans="1:7" x14ac:dyDescent="0.25">
      <c r="A38" t="s">
        <v>36</v>
      </c>
      <c r="B38" s="9">
        <v>62.762999999999998</v>
      </c>
      <c r="E38" s="1" t="s">
        <v>43</v>
      </c>
      <c r="F38" s="9">
        <f>B38-B35</f>
        <v>10.474599999999995</v>
      </c>
      <c r="G38" s="2"/>
    </row>
    <row r="39" spans="1:7" x14ac:dyDescent="0.25">
      <c r="B39" s="2"/>
      <c r="E39" s="1" t="s">
        <v>44</v>
      </c>
      <c r="F39" s="9">
        <f>F38/18.02</f>
        <v>0.58127635960044366</v>
      </c>
    </row>
    <row r="40" spans="1:7" x14ac:dyDescent="0.25">
      <c r="B40" s="2"/>
      <c r="E40" s="1" t="s">
        <v>47</v>
      </c>
      <c r="F40" s="13">
        <f>F39*6.01*1000</f>
        <v>3493.470921198666</v>
      </c>
    </row>
    <row r="41" spans="1:7" x14ac:dyDescent="0.25">
      <c r="B41" s="2"/>
      <c r="E41" s="1" t="s">
        <v>45</v>
      </c>
      <c r="F41" s="13">
        <f>F37+F40</f>
        <v>258.7435355986654</v>
      </c>
    </row>
    <row r="44" spans="1:7" ht="21" x14ac:dyDescent="0.35">
      <c r="A44" s="19" t="s">
        <v>15</v>
      </c>
    </row>
    <row r="45" spans="1:7" x14ac:dyDescent="0.25">
      <c r="A45" t="s">
        <v>17</v>
      </c>
      <c r="B45" s="9">
        <v>3.1600000000000003E-2</v>
      </c>
    </row>
    <row r="46" spans="1:7" x14ac:dyDescent="0.25">
      <c r="A46" t="s">
        <v>23</v>
      </c>
      <c r="B46" s="11">
        <v>24.9</v>
      </c>
    </row>
    <row r="47" spans="1:7" x14ac:dyDescent="0.25">
      <c r="A47" t="s">
        <v>19</v>
      </c>
      <c r="B47">
        <v>758.3</v>
      </c>
    </row>
    <row r="48" spans="1:7" x14ac:dyDescent="0.25">
      <c r="A48" t="s">
        <v>18</v>
      </c>
      <c r="B48">
        <v>23.475999999999999</v>
      </c>
    </row>
    <row r="49" spans="1:9" x14ac:dyDescent="0.25">
      <c r="A49" t="s">
        <v>24</v>
      </c>
      <c r="B49" s="2">
        <v>34.01</v>
      </c>
    </row>
    <row r="51" spans="1:9" x14ac:dyDescent="0.25">
      <c r="A51" t="s">
        <v>16</v>
      </c>
      <c r="B51" s="8">
        <f>B45/24.31</f>
        <v>1.2998765939942413E-3</v>
      </c>
    </row>
    <row r="52" spans="1:9" x14ac:dyDescent="0.25">
      <c r="A52" t="s">
        <v>20</v>
      </c>
      <c r="B52">
        <f>B47-B48</f>
        <v>734.82399999999996</v>
      </c>
    </row>
    <row r="53" spans="1:9" x14ac:dyDescent="0.25">
      <c r="A53" t="s">
        <v>21</v>
      </c>
      <c r="B53" s="10">
        <f>B52/760</f>
        <v>0.96687368421052622</v>
      </c>
    </row>
    <row r="54" spans="1:9" x14ac:dyDescent="0.25">
      <c r="A54" t="s">
        <v>22</v>
      </c>
      <c r="B54" s="8">
        <f>B53*B49/1000/(B51*(273.15+B46))</f>
        <v>8.4876042582694669E-2</v>
      </c>
    </row>
    <row r="55" spans="1:9" x14ac:dyDescent="0.25">
      <c r="A55" t="s">
        <v>101</v>
      </c>
      <c r="B55" s="23">
        <f>(B54-0.08205)/0.08205</f>
        <v>3.4442932147406111E-2</v>
      </c>
    </row>
    <row r="57" spans="1:9" ht="21" x14ac:dyDescent="0.35">
      <c r="A57" s="19" t="s">
        <v>48</v>
      </c>
      <c r="D57" s="1" t="s">
        <v>55</v>
      </c>
      <c r="E57" s="9">
        <f>B59-B58</f>
        <v>4.6480000000000032</v>
      </c>
      <c r="G57" s="1" t="s">
        <v>65</v>
      </c>
      <c r="H57" s="9">
        <f>H60*58.44</f>
        <v>0.92960000000000054</v>
      </c>
    </row>
    <row r="58" spans="1:9" x14ac:dyDescent="0.25">
      <c r="A58" t="s">
        <v>49</v>
      </c>
      <c r="B58">
        <v>45.121299999999998</v>
      </c>
      <c r="D58" s="1" t="s">
        <v>57</v>
      </c>
      <c r="E58" s="9">
        <f>E59-E57</f>
        <v>49.727699999999999</v>
      </c>
      <c r="G58" s="1" t="s">
        <v>64</v>
      </c>
      <c r="H58" s="9">
        <f>H59-H57</f>
        <v>25.819200000000002</v>
      </c>
    </row>
    <row r="59" spans="1:9" x14ac:dyDescent="0.25">
      <c r="A59" t="s">
        <v>50</v>
      </c>
      <c r="B59" s="9">
        <v>49.769300000000001</v>
      </c>
      <c r="D59" s="1" t="s">
        <v>56</v>
      </c>
      <c r="E59" s="9">
        <f>B60-B58</f>
        <v>54.375700000000002</v>
      </c>
      <c r="G59" s="1" t="s">
        <v>66</v>
      </c>
      <c r="H59">
        <f>B63-B62</f>
        <v>26.748800000000003</v>
      </c>
    </row>
    <row r="60" spans="1:9" x14ac:dyDescent="0.25">
      <c r="A60" t="s">
        <v>51</v>
      </c>
      <c r="B60" s="9">
        <v>99.497</v>
      </c>
      <c r="D60" s="1" t="s">
        <v>58</v>
      </c>
      <c r="E60" s="8">
        <f>E57/58.44</f>
        <v>7.9534565366187596E-2</v>
      </c>
      <c r="G60" s="1" t="s">
        <v>72</v>
      </c>
      <c r="H60" s="12">
        <f>E60/50*10</f>
        <v>1.5906913073237518E-2</v>
      </c>
      <c r="I60" t="s">
        <v>63</v>
      </c>
    </row>
    <row r="61" spans="1:9" x14ac:dyDescent="0.25">
      <c r="D61" s="1" t="s">
        <v>59</v>
      </c>
      <c r="E61" s="10">
        <f>E60/50*1000</f>
        <v>1.5906913073237519</v>
      </c>
      <c r="G61" s="1" t="s">
        <v>67</v>
      </c>
      <c r="H61" s="9">
        <f>H60/25*1000</f>
        <v>0.63627652292950077</v>
      </c>
    </row>
    <row r="62" spans="1:9" x14ac:dyDescent="0.25">
      <c r="A62" t="s">
        <v>52</v>
      </c>
      <c r="B62" s="9">
        <v>18.817</v>
      </c>
      <c r="D62" s="1" t="s">
        <v>73</v>
      </c>
      <c r="E62" s="9">
        <f>E57/E59*100</f>
        <v>8.5479359346178594</v>
      </c>
      <c r="G62" s="1" t="s">
        <v>68</v>
      </c>
      <c r="H62" s="10">
        <f>H57/H59*100</f>
        <v>3.4752960880488111</v>
      </c>
    </row>
    <row r="63" spans="1:9" x14ac:dyDescent="0.25">
      <c r="A63" t="s">
        <v>53</v>
      </c>
      <c r="B63" s="9">
        <v>45.565800000000003</v>
      </c>
      <c r="D63" s="1" t="s">
        <v>61</v>
      </c>
      <c r="E63" s="9">
        <f>E57/50*100</f>
        <v>9.2960000000000065</v>
      </c>
      <c r="G63" s="1" t="s">
        <v>70</v>
      </c>
      <c r="H63" s="10">
        <f>H57/25*100</f>
        <v>3.7184000000000021</v>
      </c>
    </row>
    <row r="64" spans="1:9" x14ac:dyDescent="0.25">
      <c r="A64" t="s">
        <v>54</v>
      </c>
      <c r="B64" s="2">
        <v>10</v>
      </c>
      <c r="D64" s="1" t="s">
        <v>60</v>
      </c>
      <c r="E64" s="9">
        <f>E60/E58*1000</f>
        <v>1.5994016487025864</v>
      </c>
      <c r="G64" s="1" t="s">
        <v>69</v>
      </c>
      <c r="H64" s="9">
        <f>H60/H58*1000</f>
        <v>0.61608853385223072</v>
      </c>
    </row>
    <row r="65" spans="1:8" x14ac:dyDescent="0.25">
      <c r="D65" s="1" t="s">
        <v>62</v>
      </c>
      <c r="E65" s="10">
        <f>E59/50</f>
        <v>1.0875140000000001</v>
      </c>
      <c r="G65" s="1" t="s">
        <v>71</v>
      </c>
      <c r="H65" s="10">
        <f>H59/25</f>
        <v>1.069952</v>
      </c>
    </row>
    <row r="67" spans="1:8" ht="21" x14ac:dyDescent="0.35">
      <c r="A67" s="19" t="s">
        <v>74</v>
      </c>
    </row>
    <row r="68" spans="1:8" x14ac:dyDescent="0.25">
      <c r="A68" t="s">
        <v>75</v>
      </c>
      <c r="B68" s="9">
        <v>107.1777</v>
      </c>
      <c r="D68" s="1" t="s">
        <v>83</v>
      </c>
      <c r="E68">
        <v>26.98</v>
      </c>
    </row>
    <row r="69" spans="1:8" x14ac:dyDescent="0.25">
      <c r="A69" t="s">
        <v>76</v>
      </c>
      <c r="B69" s="9">
        <v>107.5887</v>
      </c>
      <c r="D69" s="1" t="s">
        <v>84</v>
      </c>
      <c r="E69">
        <v>474.39</v>
      </c>
    </row>
    <row r="70" spans="1:8" x14ac:dyDescent="0.25">
      <c r="A70" t="s">
        <v>77</v>
      </c>
      <c r="B70" s="9">
        <v>35.691299999999998</v>
      </c>
      <c r="D70" s="1" t="s">
        <v>79</v>
      </c>
      <c r="E70" s="9">
        <f>B69-B68</f>
        <v>0.41100000000000136</v>
      </c>
    </row>
    <row r="71" spans="1:8" x14ac:dyDescent="0.25">
      <c r="A71" t="s">
        <v>78</v>
      </c>
      <c r="B71" s="9">
        <v>40.8628</v>
      </c>
      <c r="D71" s="1" t="s">
        <v>80</v>
      </c>
      <c r="E71" s="10">
        <f>E70/E68*E69</f>
        <v>7.2266230541141825</v>
      </c>
    </row>
    <row r="72" spans="1:8" x14ac:dyDescent="0.25">
      <c r="B72" s="9"/>
      <c r="D72" s="1" t="s">
        <v>81</v>
      </c>
      <c r="E72" s="9">
        <f>B71-B70</f>
        <v>5.1715000000000018</v>
      </c>
    </row>
    <row r="73" spans="1:8" x14ac:dyDescent="0.25">
      <c r="B73" s="9"/>
      <c r="D73" s="1" t="s">
        <v>82</v>
      </c>
      <c r="E73" s="2">
        <f>E72/E71*100</f>
        <v>71.561778735031979</v>
      </c>
    </row>
    <row r="75" spans="1:8" ht="21" x14ac:dyDescent="0.35">
      <c r="A75" s="19" t="s">
        <v>0</v>
      </c>
      <c r="C75" s="1" t="s">
        <v>1</v>
      </c>
      <c r="D75">
        <v>126.068</v>
      </c>
    </row>
    <row r="76" spans="1:8" x14ac:dyDescent="0.25">
      <c r="C76" s="1" t="s">
        <v>85</v>
      </c>
      <c r="D76">
        <v>192.124</v>
      </c>
    </row>
    <row r="78" spans="1:8" x14ac:dyDescent="0.25">
      <c r="A78" t="s">
        <v>2</v>
      </c>
      <c r="B78" s="20">
        <v>0.10580000000000001</v>
      </c>
      <c r="C78" s="20">
        <v>0.105</v>
      </c>
      <c r="D78" s="20">
        <v>0.10059999999999999</v>
      </c>
    </row>
    <row r="79" spans="1:8" x14ac:dyDescent="0.25">
      <c r="A79" t="s">
        <v>3</v>
      </c>
      <c r="B79" s="21">
        <v>2.4</v>
      </c>
      <c r="C79" s="21">
        <v>2.1</v>
      </c>
      <c r="D79" s="21">
        <v>2.6</v>
      </c>
    </row>
    <row r="80" spans="1:8" x14ac:dyDescent="0.25">
      <c r="A80" t="s">
        <v>4</v>
      </c>
      <c r="B80" s="21">
        <v>19.600000000000001</v>
      </c>
      <c r="C80" s="21">
        <v>18.8</v>
      </c>
      <c r="D80" s="21">
        <v>19.7</v>
      </c>
    </row>
    <row r="81" spans="1:4" ht="15.75" thickBot="1" x14ac:dyDescent="0.3"/>
    <row r="82" spans="1:4" ht="15.75" thickTop="1" x14ac:dyDescent="0.25">
      <c r="A82" t="s">
        <v>5</v>
      </c>
      <c r="B82" s="15">
        <f>B78/$D$75*2</f>
        <v>1.6784592442174065E-3</v>
      </c>
      <c r="C82" s="6">
        <f>C78/$D$75*2</f>
        <v>1.6657676809340991E-3</v>
      </c>
      <c r="D82" s="6">
        <f>D78/$D$75*2</f>
        <v>1.5959640828759082E-3</v>
      </c>
    </row>
    <row r="83" spans="1:4" x14ac:dyDescent="0.25">
      <c r="A83" t="s">
        <v>6</v>
      </c>
      <c r="B83" s="22">
        <f>(B80-B79)/1000</f>
        <v>1.7200000000000003E-2</v>
      </c>
      <c r="C83" s="5">
        <f>(C80-C79)/1000</f>
        <v>1.67E-2</v>
      </c>
      <c r="D83" s="5">
        <f>(D80-D79)/1000</f>
        <v>1.7099999999999997E-2</v>
      </c>
    </row>
    <row r="84" spans="1:4" ht="15.75" thickBot="1" x14ac:dyDescent="0.3">
      <c r="A84" t="s">
        <v>7</v>
      </c>
      <c r="B84" s="18">
        <f>B82/B83</f>
        <v>9.7584839780081756E-2</v>
      </c>
      <c r="C84" s="4">
        <f>C82/C83</f>
        <v>9.9746567720604737E-2</v>
      </c>
      <c r="D84" s="4">
        <f>D82/D83</f>
        <v>9.3331232916719797E-2</v>
      </c>
    </row>
    <row r="85" spans="1:4" ht="15.75" thickTop="1" x14ac:dyDescent="0.25">
      <c r="A85" t="s">
        <v>8</v>
      </c>
      <c r="B85" s="4">
        <f>AVERAGE(B84:D84)</f>
        <v>9.6887546805802097E-2</v>
      </c>
      <c r="C85" s="3"/>
      <c r="D85" s="3"/>
    </row>
    <row r="87" spans="1:4" x14ac:dyDescent="0.25">
      <c r="A87" t="s">
        <v>9</v>
      </c>
      <c r="B87" s="21">
        <v>10</v>
      </c>
      <c r="C87" s="21">
        <v>10</v>
      </c>
      <c r="D87" s="21">
        <v>10</v>
      </c>
    </row>
    <row r="88" spans="1:4" x14ac:dyDescent="0.25">
      <c r="A88" t="s">
        <v>3</v>
      </c>
      <c r="B88" s="21">
        <v>2.8</v>
      </c>
      <c r="C88" s="21">
        <v>2.6</v>
      </c>
      <c r="D88" s="21">
        <v>2.4</v>
      </c>
    </row>
    <row r="89" spans="1:4" x14ac:dyDescent="0.25">
      <c r="A89" t="s">
        <v>4</v>
      </c>
      <c r="B89" s="21">
        <v>17.100000000000001</v>
      </c>
      <c r="C89" s="21">
        <v>18.8</v>
      </c>
      <c r="D89" s="21">
        <v>17.7</v>
      </c>
    </row>
    <row r="90" spans="1:4" ht="15.75" thickBot="1" x14ac:dyDescent="0.3"/>
    <row r="91" spans="1:4" ht="15.75" thickTop="1" x14ac:dyDescent="0.25">
      <c r="A91" t="s">
        <v>10</v>
      </c>
      <c r="B91" s="16">
        <f>(B89-B88)/1000</f>
        <v>1.43E-2</v>
      </c>
      <c r="C91" s="4">
        <f>(C89-C88)/1000</f>
        <v>1.6199999999999999E-2</v>
      </c>
      <c r="D91" s="4">
        <f>(D89-D88)/1000</f>
        <v>1.5299999999999999E-2</v>
      </c>
    </row>
    <row r="92" spans="1:4" x14ac:dyDescent="0.25">
      <c r="A92" t="s">
        <v>11</v>
      </c>
      <c r="B92" s="17">
        <f>B91*$B$85/3</f>
        <v>4.618306397743233E-4</v>
      </c>
      <c r="C92" s="14">
        <f>C91*$B$85/3</f>
        <v>5.2319275275133123E-4</v>
      </c>
      <c r="D92" s="14">
        <f>D91*$B$85/3</f>
        <v>4.941264887095907E-4</v>
      </c>
    </row>
    <row r="93" spans="1:4" ht="15.75" thickBot="1" x14ac:dyDescent="0.3">
      <c r="A93" t="s">
        <v>13</v>
      </c>
      <c r="B93" s="18">
        <f>B92/B87*1000</f>
        <v>4.6183063977432326E-2</v>
      </c>
      <c r="C93" s="5">
        <f>C92/C87*1000</f>
        <v>5.2319275275133123E-2</v>
      </c>
      <c r="D93" s="5">
        <f>D92/D87*1000</f>
        <v>4.9412648870959072E-2</v>
      </c>
    </row>
    <row r="94" spans="1:4" ht="15.75" thickTop="1" x14ac:dyDescent="0.25">
      <c r="A94" t="s">
        <v>12</v>
      </c>
      <c r="B94" s="5">
        <f>AVERAGE(B93:D93)</f>
        <v>4.9304996041174838E-2</v>
      </c>
      <c r="C94" s="3"/>
      <c r="D94" s="3"/>
    </row>
    <row r="95" spans="1:4" x14ac:dyDescent="0.25">
      <c r="A95" t="s">
        <v>14</v>
      </c>
      <c r="B95" s="7">
        <f>B94/10*0.355*D76</f>
        <v>0.33627989360922095</v>
      </c>
      <c r="C95" s="3"/>
      <c r="D95" s="3"/>
    </row>
  </sheetData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Mitch Halloran</dc:creator>
  <cp:lastModifiedBy>Mitch Halloran</cp:lastModifiedBy>
  <dcterms:created xsi:type="dcterms:W3CDTF">2025-11-28T01:53:59Z</dcterms:created>
  <dcterms:modified xsi:type="dcterms:W3CDTF">2025-12-12T03:34:11Z</dcterms:modified>
</cp:coreProperties>
</file>