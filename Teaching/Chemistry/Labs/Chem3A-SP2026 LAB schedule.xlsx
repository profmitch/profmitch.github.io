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vigozler GitHub\mavigozler.github.io\Teaching\Chemistry\Labs\"/>
    </mc:Choice>
  </mc:AlternateContent>
  <xr:revisionPtr revIDLastSave="0" documentId="13_ncr:1_{DEA20D8E-E2C0-4F95-96AF-3955B87DD921}" xr6:coauthVersionLast="47" xr6:coauthVersionMax="47" xr10:uidLastSave="{00000000-0000-0000-0000-000000000000}"/>
  <bookViews>
    <workbookView xWindow="7170" yWindow="390" windowWidth="24420" windowHeight="19530" xr2:uid="{578B9870-12B4-4D24-B234-6CEC546DE2B1}"/>
  </bookViews>
  <sheets>
    <sheet name="Spring 2026 Schedule" sheetId="6" r:id="rId1"/>
    <sheet name="Spring 2026 Schedule Copy" sheetId="2" state="hidden" r:id="rId2"/>
    <sheet name="CU Schedule" sheetId="5" state="hidden" r:id="rId3"/>
    <sheet name="Prep Check off" sheetId="1" state="hidden" r:id="rId4"/>
    <sheet name="Brief Lab Schedule" sheetId="4" state="hidden" r:id="rId5"/>
  </sheets>
  <definedNames>
    <definedName name="_xlnm.Print_Area" localSheetId="4">'Brief Lab Schedule'!$A$1:$D$60</definedName>
    <definedName name="_xlnm.Print_Area" localSheetId="3">'Prep Check off'!$A$1:$I$142</definedName>
    <definedName name="_xlnm.Print_Area" localSheetId="0">'Spring 2026 Schedule'!$A$1:$C$37</definedName>
    <definedName name="_xlnm.Print_Area" localSheetId="1">'Spring 2026 Schedule Copy'!$A$1:$I$135</definedName>
    <definedName name="_xlnm.Print_Titles" localSheetId="4">'Brief Lab Schedule'!$1:$1</definedName>
    <definedName name="_xlnm.Print_Titles" localSheetId="3">'Prep Check off'!$1:$1</definedName>
    <definedName name="_xlnm.Print_Titles" localSheetId="0">'Spring 2026 Schedule'!$1:$1</definedName>
    <definedName name="_xlnm.Print_Titles" localSheetId="1">'Spring 2026 Schedule Copy'!$1:$1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5" l="1"/>
  <c r="C9" i="2"/>
  <c r="C17" i="2" s="1"/>
  <c r="C23" i="2" s="1"/>
  <c r="C31" i="2" s="1"/>
  <c r="C38" i="2" s="1"/>
  <c r="C46" i="2" s="1"/>
  <c r="C53" i="2" s="1"/>
  <c r="C60" i="2" s="1"/>
  <c r="C68" i="2" s="1"/>
  <c r="C76" i="2" s="1"/>
  <c r="C84" i="2" s="1"/>
  <c r="C86" i="2" s="1"/>
  <c r="C94" i="2" s="1"/>
  <c r="D2" i="2"/>
  <c r="D9" i="2" s="1"/>
  <c r="D17" i="2" s="1"/>
  <c r="D23" i="2" s="1"/>
  <c r="D31" i="2" s="1"/>
  <c r="D38" i="2" s="1"/>
  <c r="D46" i="2" s="1"/>
  <c r="D53" i="2" s="1"/>
  <c r="D60" i="2" s="1"/>
  <c r="D68" i="2" s="1"/>
  <c r="D76" i="2" s="1"/>
  <c r="D84" i="2" s="1"/>
  <c r="D86" i="2" s="1"/>
  <c r="D94" i="2" s="1"/>
  <c r="G142" i="2"/>
  <c r="D102" i="2" l="1"/>
  <c r="D110" i="2" s="1"/>
  <c r="D118" i="2" s="1"/>
  <c r="D125" i="2" s="1"/>
  <c r="D131" i="2" s="1"/>
  <c r="C102" i="2"/>
  <c r="C110" i="2" s="1"/>
  <c r="C118" i="2" s="1"/>
  <c r="C125" i="2" s="1"/>
  <c r="C131" i="2" s="1"/>
  <c r="E2" i="2"/>
  <c r="C138" i="1"/>
  <c r="C10" i="1"/>
  <c r="C18" i="1" s="1"/>
  <c r="C26" i="1" s="1"/>
  <c r="C34" i="1" s="1"/>
  <c r="C42" i="1" s="1"/>
  <c r="C50" i="1" s="1"/>
  <c r="C58" i="1" s="1"/>
  <c r="C66" i="1" s="1"/>
  <c r="C74" i="1" s="1"/>
  <c r="C82" i="1" s="1"/>
  <c r="C90" i="1" s="1"/>
  <c r="C98" i="1" s="1"/>
  <c r="C107" i="1" s="1"/>
  <c r="C115" i="1" s="1"/>
  <c r="C123" i="1" s="1"/>
  <c r="C130" i="1" s="1"/>
  <c r="D10" i="1"/>
  <c r="D18" i="1" s="1"/>
  <c r="D26" i="1" s="1"/>
  <c r="D34" i="1" s="1"/>
  <c r="D42" i="1" s="1"/>
  <c r="D50" i="1" s="1"/>
  <c r="D58" i="1" s="1"/>
  <c r="D66" i="1" s="1"/>
  <c r="D74" i="1" s="1"/>
  <c r="D82" i="1" s="1"/>
  <c r="D90" i="1" s="1"/>
  <c r="D98" i="1" s="1"/>
  <c r="D107" i="1" s="1"/>
  <c r="D115" i="1" s="1"/>
  <c r="D123" i="1" s="1"/>
  <c r="D130" i="1" s="1"/>
  <c r="D138" i="1" s="1"/>
  <c r="E2" i="1"/>
  <c r="E10" i="1" s="1"/>
  <c r="E18" i="1" s="1"/>
  <c r="E26" i="1" s="1"/>
  <c r="E34" i="1" s="1"/>
  <c r="E42" i="1" s="1"/>
  <c r="E50" i="1" s="1"/>
  <c r="E58" i="1" s="1"/>
  <c r="E66" i="1" s="1"/>
  <c r="E74" i="1" s="1"/>
  <c r="E82" i="1" s="1"/>
  <c r="E90" i="1" s="1"/>
  <c r="E98" i="1" s="1"/>
  <c r="E107" i="1" s="1"/>
  <c r="E115" i="1" s="1"/>
  <c r="E123" i="1" s="1"/>
  <c r="E130" i="1" s="1"/>
  <c r="E138" i="1" s="1"/>
  <c r="F2" i="2" l="1"/>
  <c r="E9" i="2"/>
  <c r="E17" i="2" s="1"/>
  <c r="E23" i="2" s="1"/>
  <c r="E31" i="2" s="1"/>
  <c r="E38" i="2" s="1"/>
  <c r="E46" i="2" s="1"/>
  <c r="E53" i="2" s="1"/>
  <c r="E60" i="2" s="1"/>
  <c r="E68" i="2" s="1"/>
  <c r="E76" i="2" s="1"/>
  <c r="E84" i="2" s="1"/>
  <c r="B2" i="4"/>
  <c r="B5" i="4" s="1"/>
  <c r="B8" i="4" s="1"/>
  <c r="B11" i="4" s="1"/>
  <c r="B14" i="4" s="1"/>
  <c r="B17" i="4" s="1"/>
  <c r="B20" i="4" s="1"/>
  <c r="B23" i="4" s="1"/>
  <c r="B26" i="4" s="1"/>
  <c r="B29" i="4" s="1"/>
  <c r="B32" i="4" s="1"/>
  <c r="B35" i="4" s="1"/>
  <c r="B38" i="4" s="1"/>
  <c r="B42" i="4" s="1"/>
  <c r="B45" i="4" s="1"/>
  <c r="B48" i="4" s="1"/>
  <c r="B50" i="4" s="1"/>
  <c r="B56" i="4" s="1"/>
  <c r="F2" i="1"/>
  <c r="E86" i="2" l="1"/>
  <c r="E94" i="2" s="1"/>
  <c r="E102" i="2" s="1"/>
  <c r="E110" i="2" s="1"/>
  <c r="E118" i="2" s="1"/>
  <c r="E125" i="2" s="1"/>
  <c r="E131" i="2" s="1"/>
  <c r="G2" i="2"/>
  <c r="F9" i="2"/>
  <c r="F17" i="2" s="1"/>
  <c r="F23" i="2" s="1"/>
  <c r="F31" i="2" s="1"/>
  <c r="F38" i="2" s="1"/>
  <c r="F46" i="2" s="1"/>
  <c r="F53" i="2" s="1"/>
  <c r="F60" i="2" s="1"/>
  <c r="F68" i="2" s="1"/>
  <c r="F76" i="2" s="1"/>
  <c r="F84" i="2" s="1"/>
  <c r="G2" i="1"/>
  <c r="F10" i="1"/>
  <c r="F18" i="1" s="1"/>
  <c r="F26" i="1" s="1"/>
  <c r="F34" i="1" s="1"/>
  <c r="F42" i="1" s="1"/>
  <c r="F50" i="1" s="1"/>
  <c r="F58" i="1" s="1"/>
  <c r="F66" i="1" s="1"/>
  <c r="F74" i="1" s="1"/>
  <c r="F82" i="1" s="1"/>
  <c r="F90" i="1" s="1"/>
  <c r="F98" i="1" s="1"/>
  <c r="F107" i="1" s="1"/>
  <c r="F115" i="1" s="1"/>
  <c r="F123" i="1" s="1"/>
  <c r="F130" i="1" s="1"/>
  <c r="F138" i="1" s="1"/>
  <c r="F86" i="2" l="1"/>
  <c r="F94" i="2" s="1"/>
  <c r="F102" i="2" s="1"/>
  <c r="F110" i="2" s="1"/>
  <c r="F118" i="2" s="1"/>
  <c r="F125" i="2" s="1"/>
  <c r="F131" i="2" s="1"/>
  <c r="H2" i="2"/>
  <c r="G9" i="2"/>
  <c r="G17" i="2" s="1"/>
  <c r="G23" i="2" s="1"/>
  <c r="G31" i="2" s="1"/>
  <c r="G38" i="2" s="1"/>
  <c r="G46" i="2" s="1"/>
  <c r="G53" i="2" s="1"/>
  <c r="G60" i="2" s="1"/>
  <c r="G68" i="2" s="1"/>
  <c r="G76" i="2" s="1"/>
  <c r="G84" i="2" s="1"/>
  <c r="C2" i="4"/>
  <c r="C5" i="4" s="1"/>
  <c r="C8" i="4" s="1"/>
  <c r="C11" i="4" s="1"/>
  <c r="C14" i="4" s="1"/>
  <c r="C17" i="4" s="1"/>
  <c r="C20" i="4" s="1"/>
  <c r="C23" i="4" s="1"/>
  <c r="C26" i="4" s="1"/>
  <c r="C29" i="4" s="1"/>
  <c r="C32" i="4" s="1"/>
  <c r="C35" i="4" s="1"/>
  <c r="C38" i="4" s="1"/>
  <c r="C42" i="4" s="1"/>
  <c r="C45" i="4" s="1"/>
  <c r="C48" i="4" s="1"/>
  <c r="C50" i="4" s="1"/>
  <c r="C56" i="4" s="1"/>
  <c r="H2" i="1"/>
  <c r="H10" i="1" s="1"/>
  <c r="H18" i="1" s="1"/>
  <c r="H26" i="1" s="1"/>
  <c r="H34" i="1" s="1"/>
  <c r="H42" i="1" s="1"/>
  <c r="H50" i="1" s="1"/>
  <c r="H58" i="1" s="1"/>
  <c r="H66" i="1" s="1"/>
  <c r="H74" i="1" s="1"/>
  <c r="H82" i="1" s="1"/>
  <c r="H90" i="1" s="1"/>
  <c r="H98" i="1" s="1"/>
  <c r="H107" i="1" s="1"/>
  <c r="H115" i="1" s="1"/>
  <c r="H123" i="1" s="1"/>
  <c r="H130" i="1" s="1"/>
  <c r="H138" i="1" s="1"/>
  <c r="G10" i="1"/>
  <c r="G18" i="1" s="1"/>
  <c r="G26" i="1" s="1"/>
  <c r="G34" i="1" s="1"/>
  <c r="G42" i="1" s="1"/>
  <c r="G50" i="1" s="1"/>
  <c r="G58" i="1" s="1"/>
  <c r="G66" i="1" s="1"/>
  <c r="G74" i="1" s="1"/>
  <c r="G82" i="1" s="1"/>
  <c r="G90" i="1" s="1"/>
  <c r="G98" i="1" s="1"/>
  <c r="G107" i="1" s="1"/>
  <c r="G115" i="1" s="1"/>
  <c r="G123" i="1" s="1"/>
  <c r="G130" i="1" s="1"/>
  <c r="G138" i="1" s="1"/>
  <c r="G86" i="2" l="1"/>
  <c r="G94" i="2" s="1"/>
  <c r="G102" i="2" s="1"/>
  <c r="G110" i="2" s="1"/>
  <c r="G118" i="2" s="1"/>
  <c r="G125" i="2" s="1"/>
  <c r="G131" i="2" s="1"/>
  <c r="H9" i="2"/>
  <c r="H17" i="2" s="1"/>
  <c r="H23" i="2" s="1"/>
  <c r="H31" i="2" s="1"/>
  <c r="H38" i="2" s="1"/>
  <c r="H46" i="2" s="1"/>
  <c r="H53" i="2" s="1"/>
  <c r="H60" i="2" s="1"/>
  <c r="H68" i="2" s="1"/>
  <c r="H76" i="2" s="1"/>
  <c r="H84" i="2" s="1"/>
  <c r="I2" i="2"/>
  <c r="I9" i="2" s="1"/>
  <c r="I17" i="2" s="1"/>
  <c r="I23" i="2" s="1"/>
  <c r="I31" i="2" s="1"/>
  <c r="I38" i="2" s="1"/>
  <c r="I46" i="2" s="1"/>
  <c r="I53" i="2" s="1"/>
  <c r="I60" i="2" s="1"/>
  <c r="I68" i="2" s="1"/>
  <c r="I76" i="2" s="1"/>
  <c r="I84" i="2" s="1"/>
  <c r="I86" i="2" s="1"/>
  <c r="I94" i="2" s="1"/>
  <c r="I102" i="2" s="1"/>
  <c r="I110" i="2" s="1"/>
  <c r="I118" i="2" s="1"/>
  <c r="I125" i="2" s="1"/>
  <c r="I131" i="2" s="1"/>
  <c r="H86" i="2" l="1"/>
  <c r="H94" i="2" s="1"/>
  <c r="H102" i="2" s="1"/>
  <c r="H110" i="2" s="1"/>
  <c r="H118" i="2" s="1"/>
  <c r="H125" i="2" s="1"/>
  <c r="H131" i="2" s="1"/>
</calcChain>
</file>

<file path=xl/sharedStrings.xml><?xml version="1.0" encoding="utf-8"?>
<sst xmlns="http://schemas.openxmlformats.org/spreadsheetml/2006/main" count="989" uniqueCount="502">
  <si>
    <t>Week Number</t>
  </si>
  <si>
    <t>Class Session/
Assignments Due</t>
  </si>
  <si>
    <t>Sunday</t>
  </si>
  <si>
    <t>Monday</t>
  </si>
  <si>
    <t>Tuesday</t>
  </si>
  <si>
    <t>Wednesday</t>
  </si>
  <si>
    <t>Thursday</t>
  </si>
  <si>
    <t>Friday</t>
  </si>
  <si>
    <t>Saturday</t>
  </si>
  <si>
    <t>Pre-Reading</t>
  </si>
  <si>
    <t>Read: 1.1-1.4</t>
  </si>
  <si>
    <t>Lecture Topics</t>
  </si>
  <si>
    <t>Introduction
Chapter 1: Scientific Notation and Rounding</t>
  </si>
  <si>
    <t>Chapter 1: Significant Figures</t>
  </si>
  <si>
    <t>Synchronous Lab
(on campus)</t>
  </si>
  <si>
    <t>Pre-Lecture Quiz</t>
  </si>
  <si>
    <t>Pre-Lecture Quiz: 1.1-1.4</t>
  </si>
  <si>
    <t>Homework</t>
  </si>
  <si>
    <t>HW: Math Review and Chapter 1 - Measurements (Significant Figures/Scientific Notation/Rounding)</t>
  </si>
  <si>
    <t>Lab Assignments</t>
  </si>
  <si>
    <t>Lab Safety Video Quiz &amp; Contract</t>
  </si>
  <si>
    <t>Read: 2.1-2.4</t>
  </si>
  <si>
    <t>Read: 2.5-2.8</t>
  </si>
  <si>
    <t>Chapter 2: Atomic Structure and Periodic Table</t>
  </si>
  <si>
    <t>Chapter 2: Ions, Isotopes and Atomic Mass</t>
  </si>
  <si>
    <t>Pre-Lecture Quiz 2.1-2.4</t>
  </si>
  <si>
    <t>Pre-Lecture Quiz: 2.5-2.8</t>
  </si>
  <si>
    <t>HW: Weekly Review (Week 2)</t>
  </si>
  <si>
    <t>Read: 3.1-3.3</t>
  </si>
  <si>
    <t>Read: 3.4-3.5</t>
  </si>
  <si>
    <t>QUIZ: POLYATOMIC IONS!
Chapter 3: Light and Quantum Mechanical Model of the Atom</t>
  </si>
  <si>
    <t>Chapter 3: Electron Configurations and Periodic Trends</t>
  </si>
  <si>
    <t>Electrons in Atoms (Emission spectra lab)</t>
  </si>
  <si>
    <t>Pre-Lecture Quiz 3.1-3.3</t>
  </si>
  <si>
    <t>Pre-Lecture Quiz 3.4-3.5</t>
  </si>
  <si>
    <t>HW: Weekly Review (Week 3)</t>
  </si>
  <si>
    <t>HW: Chapter 3 - Electrons and the Periodic Table</t>
  </si>
  <si>
    <t>Read: 4.1-4.4</t>
  </si>
  <si>
    <t>EXAM 1: Chapter 1-3</t>
  </si>
  <si>
    <t>Chapter 4: Elements, Compounds and Mixtures</t>
  </si>
  <si>
    <t>Pre-Lecture Quiz: 4.1-4.4</t>
  </si>
  <si>
    <t>ALEKS</t>
  </si>
  <si>
    <t>HW: Weekly Review (Week 4)</t>
  </si>
  <si>
    <t>HW: Chapter 4 - Compounds and Chemical Bonds</t>
  </si>
  <si>
    <t>Pre-Lab Quiz: Making Measurements</t>
  </si>
  <si>
    <t>Data Report: EXP 4A: Making Measurements</t>
  </si>
  <si>
    <t>Read: 4.5-4.6</t>
  </si>
  <si>
    <t>Read: 5.1-5.5</t>
  </si>
  <si>
    <t>Labor Day</t>
  </si>
  <si>
    <t>Chapter 4: Nomenclature</t>
  </si>
  <si>
    <t>Chapter 5: The Mole &amp; Molar Mass</t>
  </si>
  <si>
    <t>Pre-Lecture Quiz 4.5-4.6</t>
  </si>
  <si>
    <t>Pre-Lecture Quiz 5.1-5.3</t>
  </si>
  <si>
    <t>HW: Weekly Review (Week 5)</t>
  </si>
  <si>
    <t>HW: Chapter 5 - The Mole and Chemical Formulas</t>
  </si>
  <si>
    <t>Week 5: Team Report (Ch 4) &amp; Reflection</t>
  </si>
  <si>
    <t>Lab</t>
  </si>
  <si>
    <t>Read: 5.6-5.10</t>
  </si>
  <si>
    <t>Read: 6.1-6.3</t>
  </si>
  <si>
    <t>Chapter 5: Empirical Formula &amp; Molecular Formula</t>
  </si>
  <si>
    <t>Chapter 6: Lewis Structures and Molecular Shape</t>
  </si>
  <si>
    <t>Pre-Lecture Quiz: 5.6-5.10</t>
  </si>
  <si>
    <t>Pre-Lecture Quiz 6.1-6.3</t>
  </si>
  <si>
    <t>HW: Weekly Review (Week 6)</t>
  </si>
  <si>
    <t>HW: Chapter 5 &amp; 6</t>
  </si>
  <si>
    <t>Week 6: Team Report (Ch 5) &amp; Reflection</t>
  </si>
  <si>
    <t>Pre-Lab Quiz: Exp 2a: Electrons in Atoms</t>
  </si>
  <si>
    <t>Data Report: Exp 5a: Electrons in Atoms</t>
  </si>
  <si>
    <t>Read: 6.4-6.5</t>
  </si>
  <si>
    <t>Read: 7.1-7.3</t>
  </si>
  <si>
    <t>Chapter 6: Molecular Polarity &amp; IMFs</t>
  </si>
  <si>
    <t>Chapter 7: Properties of Solids and Liquids</t>
  </si>
  <si>
    <t>Pre-Lecture Quiz: 6.4-6.6</t>
  </si>
  <si>
    <t>Pre-Lecture Quiz: 7.1-7.3</t>
  </si>
  <si>
    <t>HW: Weekly Review (Week 7)</t>
  </si>
  <si>
    <t>HW: Chapter 6 &amp; 7</t>
  </si>
  <si>
    <t>Week 7: Team Report (Ch 6) &amp; Reflection</t>
  </si>
  <si>
    <t>Pre-Lab Quiz: EXP 5A Empirical Formula</t>
  </si>
  <si>
    <t>Data Report: EXP 5A: Empirical Formula</t>
  </si>
  <si>
    <t>Read: 7.4-7.6</t>
  </si>
  <si>
    <t>Read: 8.1-8.4</t>
  </si>
  <si>
    <t>Chapter 7: Energy, Heat Capacity and Phase Changes</t>
  </si>
  <si>
    <t>Chapter 8: Gas Laws</t>
  </si>
  <si>
    <t>Pre-Lecture Quiz: 7.4-7.6</t>
  </si>
  <si>
    <t>Pre-Lecture Quiz: 8.1-8.4</t>
  </si>
  <si>
    <t>HW: Weekly Review (Week 8)</t>
  </si>
  <si>
    <t>HW: Chapter 7 &amp; 8</t>
  </si>
  <si>
    <t>Week 8: Team Report (Ch 7) &amp; Reflection</t>
  </si>
  <si>
    <t>Pre-Lab Quiz: EXP 6A: Molecular Modeling</t>
  </si>
  <si>
    <t>Data Report: EXP 6A: Molecular Modeling</t>
  </si>
  <si>
    <t>Read: 8.5-8.6</t>
  </si>
  <si>
    <t>EXAM 2: Chapter 4-7</t>
  </si>
  <si>
    <t>Chapter 8: Partial Pressure</t>
  </si>
  <si>
    <t>Calculate ideal gas constant, R</t>
  </si>
  <si>
    <t>Do your Practice Exam!</t>
  </si>
  <si>
    <t>Pre-Lecture Quiz: 8.5-8.5</t>
  </si>
  <si>
    <t>HW: Weekly Review (Week 9)</t>
  </si>
  <si>
    <t>HW: Chapter 8</t>
  </si>
  <si>
    <t>Week 9: Team Report (Ch 8) &amp; Reflection</t>
  </si>
  <si>
    <t>Pre-Lab Quiz: EXP 7A: Calorimetry</t>
  </si>
  <si>
    <t>Data Report: EXP 7A: Calorimetry</t>
  </si>
  <si>
    <t>Read: 9.1-9.3</t>
  </si>
  <si>
    <t>Read: 9.4-9.6</t>
  </si>
  <si>
    <t>Chapter 9: Solutions and Units of Concentration</t>
  </si>
  <si>
    <t>Chapter 9: Colligative Properties</t>
  </si>
  <si>
    <t>Synchronous Lab</t>
  </si>
  <si>
    <t>Pre-Lecture Quiz 9.1-9.3</t>
  </si>
  <si>
    <t>Pre-Lecture Quiz 9.4-9.6</t>
  </si>
  <si>
    <t>HW: Weekly Review (Week 10)</t>
  </si>
  <si>
    <t>HW: Chapter 9</t>
  </si>
  <si>
    <t>Week 10: Team Report (Ch 9) &amp; Reflection</t>
  </si>
  <si>
    <t>Pre-Lab Quiz: EXP 11b Gas Production</t>
  </si>
  <si>
    <t>Data Report: EXP 11b Gas Production</t>
  </si>
  <si>
    <t>Read: 10.1-10.4</t>
  </si>
  <si>
    <t>Read: 10.5-10.6</t>
  </si>
  <si>
    <t>Chapter 10: Types of Chemical Reactions &amp; Balancing</t>
  </si>
  <si>
    <t>Chapter 10: Predicting Products of Chemical Reactions</t>
  </si>
  <si>
    <t>Pre-Lecture Quiz: 10.1-10.4</t>
  </si>
  <si>
    <t>Pre-Lecture Quiz: 10.5-10.6</t>
  </si>
  <si>
    <t>HW: Weekly Review (Week 11)</t>
  </si>
  <si>
    <t>HW: Chapter 10</t>
  </si>
  <si>
    <t>Week 11: Team Report (Ch 10) &amp; Reflection</t>
  </si>
  <si>
    <t>Pre-Lab Quiz: EXP 9A NaCl Standard Curve</t>
  </si>
  <si>
    <t>Data Report: EXP 9A: NaCl Standard Curve</t>
  </si>
  <si>
    <t>Read: 10.5-10.9</t>
  </si>
  <si>
    <t>Read: 11.1 and 11.4</t>
  </si>
  <si>
    <t>Chapter 10: Redox Reactions &amp; the Activity Series</t>
  </si>
  <si>
    <t>Chapter 11: General Stoichiometry &amp; Enthalpy</t>
  </si>
  <si>
    <t>Pre-Lecture Quiz: 10.5-10.9</t>
  </si>
  <si>
    <t>Pre-Lecture Quiz: 11.1 and 11.4</t>
  </si>
  <si>
    <t>HW: Weekly Review (Week 12)</t>
  </si>
  <si>
    <t>Week 12: Team Report (Ch 8- 10 Exam Prep) &amp; Reflection</t>
  </si>
  <si>
    <t>Pre-Lab Quiz: EXP 10a - Types of Reactions</t>
  </si>
  <si>
    <t xml:space="preserve">Data Report: EXP 10a - Types of Reactions
</t>
  </si>
  <si>
    <t>Read: 11.2-11.3</t>
  </si>
  <si>
    <t>EXAM 3: Chapter 8-10</t>
  </si>
  <si>
    <t>Chapter 11: Limiting Reactant and Yield</t>
  </si>
  <si>
    <t>Pre-Lecture Quiz: 11.2-11.3</t>
  </si>
  <si>
    <t>HW: Weekly Review (Week 13)</t>
  </si>
  <si>
    <t>HW: Chapter 11</t>
  </si>
  <si>
    <t>Week 13: Team Report (Exam Prep) &amp; Reflection</t>
  </si>
  <si>
    <t>Pre-Lab Quiz: Synthesis of Alum</t>
  </si>
  <si>
    <t>Data Report: EXP 11A - Synthesis of Alum</t>
  </si>
  <si>
    <t>Read: 12.1-12.2</t>
  </si>
  <si>
    <t>Read: 12.3-12.4</t>
  </si>
  <si>
    <t>Chapter 12: Acids and Bases</t>
  </si>
  <si>
    <t>Chapter 12: pH Calculations</t>
  </si>
  <si>
    <t>Veteran's Day</t>
  </si>
  <si>
    <t>Pre-Lecture Quiz: 12.1-12.2</t>
  </si>
  <si>
    <t>Pre-Lecture Quiz 12.3-12.4</t>
  </si>
  <si>
    <t>HW: Weekly Review (Week 14)</t>
  </si>
  <si>
    <t>HW: Chapter 12</t>
  </si>
  <si>
    <t>Pre-Lab Quiz: EXP 12B - Determination of Citric Acid Content in Soda</t>
  </si>
  <si>
    <t>Data Report: EXP 12B - Determination of Citric Acid Content in Soda</t>
  </si>
  <si>
    <t>Read: 13.1-13.3</t>
  </si>
  <si>
    <t>Read: 13.4-13.6</t>
  </si>
  <si>
    <t>Chapter 13: Equilibrium and the Equilibrium Constant</t>
  </si>
  <si>
    <t>Chapter 13: Shifting Equilibria (Le Chatlier's Principle)</t>
  </si>
  <si>
    <t>Pre-Lecture Quiz: 13.1-13.4</t>
  </si>
  <si>
    <t>Pre-Lecture Quiz 13.4-13.6</t>
  </si>
  <si>
    <t>HW: Weekly Review (Week 15)</t>
  </si>
  <si>
    <t>HW: Chapter 13</t>
  </si>
  <si>
    <t>Pre-Lab Quiz: EXP 12A -  pH of Household Materials</t>
  </si>
  <si>
    <t>Data Report: EXP 12A - pH of Household Materials</t>
  </si>
  <si>
    <t>Read: 14.1-14.4</t>
  </si>
  <si>
    <t>Chapter 14: Nuclear Chemistry</t>
  </si>
  <si>
    <t>Thanksgiving</t>
  </si>
  <si>
    <t>Make-up Labs</t>
  </si>
  <si>
    <t>Pre-Lecture Quiz: 16.1-16.5</t>
  </si>
  <si>
    <t>HW: Weekly Review (Week 16)</t>
  </si>
  <si>
    <t>HW: Chapter 14</t>
  </si>
  <si>
    <t>Week 14: Team Report (Ch 13) &amp; Reflection</t>
  </si>
  <si>
    <t>EXAM 4: Chapter 11-14</t>
  </si>
  <si>
    <t>Practice Final</t>
  </si>
  <si>
    <t>Pre-Lecture Discussion</t>
  </si>
  <si>
    <t>HW: Weekly Review (Week 17)</t>
  </si>
  <si>
    <t>Finals Week</t>
  </si>
  <si>
    <t>Introduction
"Getting Started"</t>
  </si>
  <si>
    <t>Lecture: Dimensional Analysis
Worksheet: Chapter 1</t>
  </si>
  <si>
    <t>Team Community Agreement
Atomic Mass of M&amp;M's?
Polyatomic Ion Quiz Kahoot</t>
  </si>
  <si>
    <t>HW: Chapter 1 - Measurements (Dimensional Analysis) and 
Chapter 2 - Atomic Structure</t>
  </si>
  <si>
    <t>Lecture: Atomic Mass Calculations
Worksheet: Chapter 1 (Atoms &amp; Elements)
Worksheet: Chapter 2 (Electrons and the Periodic Table)</t>
  </si>
  <si>
    <t>Move EXP 4 here?</t>
  </si>
  <si>
    <t>Move exam here? No time to forget</t>
  </si>
  <si>
    <t>EXP 4A: Making Measurements</t>
  </si>
  <si>
    <t>Ch. 1-4</t>
  </si>
  <si>
    <t>Exp 2a - Electrons in Atoms</t>
  </si>
  <si>
    <t>EXP 5A: Empirical Formula</t>
  </si>
  <si>
    <t>Read: 8.1-8.5</t>
  </si>
  <si>
    <t>EXP 6a: Molecular Modeling</t>
  </si>
  <si>
    <t>1, 2</t>
  </si>
  <si>
    <t>Pre-Lecture Quiz: 8.1-8.5</t>
  </si>
  <si>
    <t>3, 4, 5</t>
  </si>
  <si>
    <t>EXP 7A: Calorimetry</t>
  </si>
  <si>
    <t>6, 7, 8, 9</t>
  </si>
  <si>
    <t>10, 11, 12</t>
  </si>
  <si>
    <t>EXP 11b: Determination of Ideal Gas Constant, R</t>
  </si>
  <si>
    <t>Chapter "17" (Redox &amp; Activity series) is now in Chapter 10 w/ reactions</t>
  </si>
  <si>
    <t>EXP 9A: NaCl Standard Curve</t>
  </si>
  <si>
    <t>Read: 10.7-10.9</t>
  </si>
  <si>
    <t>EXP 10A: Types of Reactions</t>
  </si>
  <si>
    <t>Pre-Lecture Quiz: 10.7-10.9</t>
  </si>
  <si>
    <t>HW: Chapter 10 &amp; Chapter 11</t>
  </si>
  <si>
    <t>Data Report: EXP 10a - Types of Reactions</t>
  </si>
  <si>
    <t>Moving Chapter 11, Stoichiometry to the last exam</t>
  </si>
  <si>
    <t>EXP 11A: Synthesis of Alum</t>
  </si>
  <si>
    <t>EXP 12B: Determination of Citric Acid Content in Soda</t>
  </si>
  <si>
    <t>EXP 12A: pH of Household Materials</t>
  </si>
  <si>
    <t>Pre-Lecture Quiz: 14.1-14.4</t>
  </si>
  <si>
    <t>Lab Practical</t>
  </si>
  <si>
    <t xml:space="preserve">Tuesday, December 6th 
2:00 pm - 3:50 pm </t>
  </si>
  <si>
    <t>Tuesday
Lecture</t>
  </si>
  <si>
    <t>Thursday
Lecture</t>
  </si>
  <si>
    <t>See Self-Service</t>
  </si>
  <si>
    <t>Chapter 1: Scientific Notation and Rounding</t>
  </si>
  <si>
    <t xml:space="preserve">
Lecture: Dimensional Analysis
Worksheet: Chapter 1</t>
  </si>
  <si>
    <r>
      <rPr>
        <b/>
        <u/>
        <sz val="9"/>
        <color theme="1"/>
        <rFont val="Calibri"/>
        <family val="2"/>
        <scheme val="minor"/>
      </rPr>
      <t>QUIZ: POLYATOMIC IONS!</t>
    </r>
    <r>
      <rPr>
        <sz val="9"/>
        <color theme="1"/>
        <rFont val="Calibri"/>
        <family val="2"/>
        <scheme val="minor"/>
      </rPr>
      <t xml:space="preserve">
Chapter 3: Light and Quantum Mechanical Model of the Atom</t>
    </r>
  </si>
  <si>
    <t xml:space="preserve">
Atomic Mass Calculations
Worksheet Chapter 2</t>
  </si>
  <si>
    <t xml:space="preserve">
EXP 4A: Making Measurements</t>
  </si>
  <si>
    <t xml:space="preserve">
Nomenclature Practice</t>
  </si>
  <si>
    <t xml:space="preserve">
Exp 2a - Electrons in Atoms</t>
  </si>
  <si>
    <t xml:space="preserve">
EXP 5A: Empirical Formula</t>
  </si>
  <si>
    <t xml:space="preserve">
EXP 6a: Molecular Modeling</t>
  </si>
  <si>
    <t xml:space="preserve">
EXP 7A: Calorimetry</t>
  </si>
  <si>
    <t xml:space="preserve">
EXP 11b: Determination of Ideal Gas Constant, R</t>
  </si>
  <si>
    <t xml:space="preserve">
EXP 9A: NaCl Standard Curve</t>
  </si>
  <si>
    <t xml:space="preserve">
EXP 10A: Types of Reactions</t>
  </si>
  <si>
    <t xml:space="preserve">
EXP 11A: Synthesis of Alum</t>
  </si>
  <si>
    <t xml:space="preserve">
EXP 12B: Determination of Citric Acid Content in Soda</t>
  </si>
  <si>
    <t xml:space="preserve">
EXP 12A: pH of Household Materials</t>
  </si>
  <si>
    <t>Section:
Lab Practical</t>
  </si>
  <si>
    <t xml:space="preserve">Section: 17025 and 17026
Tuesday, December 6th 
2:00 pm - 3:50 pm </t>
  </si>
  <si>
    <t xml:space="preserve">Section: 17036 and 17037
Thursday, December 7th 
4:00 pm - 5:50 pm </t>
  </si>
  <si>
    <t>Week</t>
  </si>
  <si>
    <t>Lecture</t>
  </si>
  <si>
    <t>Laboratory</t>
  </si>
  <si>
    <t xml:space="preserve">Laboratory
</t>
  </si>
  <si>
    <t>Section: 19320
Atomic Mass Calculations</t>
  </si>
  <si>
    <t>Section: 19320
Lab Practical</t>
  </si>
  <si>
    <t>Section: 19321
Atomic Mass Calculations</t>
  </si>
  <si>
    <t>Section: 19321
Lab Practical</t>
  </si>
  <si>
    <t>Full Refund Last Day Drop</t>
  </si>
  <si>
    <t>Last Day Add &amp; Drop without W by Self-Service</t>
  </si>
  <si>
    <t>Lecture Plan</t>
  </si>
  <si>
    <t>Lab Plan</t>
  </si>
  <si>
    <t>Week 1</t>
  </si>
  <si>
    <t>From</t>
  </si>
  <si>
    <t>To </t>
  </si>
  <si>
    <r>
      <t>Day 1:</t>
    </r>
    <r>
      <rPr>
        <sz val="12"/>
        <color theme="1"/>
        <rFont val="Calibri"/>
        <family val="2"/>
      </rPr>
      <t> </t>
    </r>
  </si>
  <si>
    <t> Introduction</t>
  </si>
  <si>
    <t>Chapter 1: Scientific Notation and Rounding; </t>
  </si>
  <si>
    <t>Day 2:</t>
  </si>
  <si>
    <t>All Labs: Introduction</t>
  </si>
  <si>
    <t>"Getting Started"</t>
  </si>
  <si>
    <t>Week 2</t>
  </si>
  <si>
    <t>Monday: Holiday</t>
  </si>
  <si>
    <t>Tuesday: Chapter 1: Significant Figures in Calculations</t>
  </si>
  <si>
    <t>Wednesday: Chapter 1: Dimensional Analysis; </t>
  </si>
  <si>
    <t>Thursday: Chapter 1: Dimensional Analysis</t>
  </si>
  <si>
    <t>Monday Lab: Holiday</t>
  </si>
  <si>
    <t> Wednesday Lab: Team Community Agreement + Ch 1 Blueprint</t>
  </si>
  <si>
    <t>Week 3</t>
  </si>
  <si>
    <t> Chapter 2: Atomic Structure and Periodic Table</t>
  </si>
  <si>
    <t>Quiz:</t>
  </si>
  <si>
    <r>
      <t> </t>
    </r>
    <r>
      <rPr>
        <sz val="10"/>
        <color theme="1"/>
        <rFont val="Calibri"/>
        <family val="2"/>
      </rPr>
      <t>Memorization Quiz (Polyatomic Ions, SI Prefixes)</t>
    </r>
  </si>
  <si>
    <t>(10 min)</t>
  </si>
  <si>
    <t>Chapter 2: Isotopes and Atomic Mass</t>
  </si>
  <si>
    <t>Monday Lab: </t>
  </si>
  <si>
    <t>Exp 1a: Making Measurements + Team Community Agreement</t>
  </si>
  <si>
    <t>Wednesday Lab: </t>
  </si>
  <si>
    <t>Exp 1a: Making Measurements</t>
  </si>
  <si>
    <t>Week 4</t>
  </si>
  <si>
    <t> Chapter 3: Light and Quantum Model</t>
  </si>
  <si>
    <r>
      <t> </t>
    </r>
    <r>
      <rPr>
        <sz val="10"/>
        <color theme="1"/>
        <rFont val="Calibri"/>
        <family val="2"/>
      </rPr>
      <t>Chapter 1 (Measurements)</t>
    </r>
  </si>
  <si>
    <t>(15 min)</t>
  </si>
  <si>
    <t>Chapter 3: Electron Configurations</t>
  </si>
  <si>
    <t>Monday Lab: Exp 2a: Atomic Mass + Ch 1 Blueprint</t>
  </si>
  <si>
    <t>Wednesday Lab: Exp 2a: Atomic Mass</t>
  </si>
  <si>
    <t>Week 5</t>
  </si>
  <si>
    <t>Monday: </t>
  </si>
  <si>
    <t>Chapter 3: Periodic Trends</t>
  </si>
  <si>
    <t>Chapter 4: Chemical and Physical Changes</t>
  </si>
  <si>
    <t>Wednesday: </t>
  </si>
  <si>
    <t>Chapter 4: Classifying Matter</t>
  </si>
  <si>
    <t>Exp 4a: Law of Constant Composition</t>
  </si>
  <si>
    <t>Week 6</t>
  </si>
  <si>
    <t>Tuesday: Chapter 4: Chemical Symbolism and Nomenclature</t>
  </si>
  <si>
    <t>Quizzes:</t>
  </si>
  <si>
    <r>
      <t> </t>
    </r>
    <r>
      <rPr>
        <sz val="10"/>
        <color theme="1"/>
        <rFont val="Calibri"/>
        <family val="2"/>
      </rPr>
      <t>Chapter 2: (Light, Quantum, Electrons)</t>
    </r>
  </si>
  <si>
    <t>Chapter 3: (Light, Electrons, Trends)</t>
  </si>
  <si>
    <t>Wednesday: Chapter 4: Chemical Symbolism and Nomenclature</t>
  </si>
  <si>
    <t>Thursday: Chapter 5: Molar Mass, The Mole</t>
  </si>
  <si>
    <t>Exp 4b: Rolling for Compound Initiative &amp; Chapter 4: Nomenclature</t>
  </si>
  <si>
    <t>Week 7</t>
  </si>
  <si>
    <r>
      <t>Day 1:</t>
    </r>
    <r>
      <rPr>
        <sz val="12"/>
        <color theme="1"/>
        <rFont val="Calibri"/>
        <family val="2"/>
      </rPr>
      <t> </t>
    </r>
    <r>
      <rPr>
        <sz val="10"/>
        <color theme="1"/>
        <rFont val="Calibri"/>
        <family val="2"/>
      </rPr>
      <t>Monday: Chapter 5: Molar Mass, The Mole; Tuesday: Chapter 5: Mole Conversions &amp; Mass %</t>
    </r>
  </si>
  <si>
    <r>
      <t>Day 2: </t>
    </r>
    <r>
      <rPr>
        <sz val="10"/>
        <color theme="1"/>
        <rFont val="Calibri"/>
        <family val="2"/>
      </rPr>
      <t>Wednesday: Chapter 5: Mole Conversions and Mass %; Thursday: Chapter 5: Empirical Formula &amp; Molecular Formula</t>
    </r>
  </si>
  <si>
    <t>Monday Lab: Exp 4b: Rolling for Compound Initiative &amp; Chapter 4: Nomenclature</t>
  </si>
  <si>
    <t>Wednesday Lab: Quiz Retakes, Make-up Labs</t>
  </si>
  <si>
    <t>Week 8</t>
  </si>
  <si>
    <t> Monday: Chapter 5: Empirical Formula &amp; Molecular Formula; </t>
  </si>
  <si>
    <t>Tuesday: Chapter 6: Lewis Structures</t>
  </si>
  <si>
    <t>Chapter 4 (Classifying Matter, Nomenclature)</t>
  </si>
  <si>
    <t>Wednesday: Chapter 6: Lewis Structures; Thursday: Chapter 6: Molecular Shape and Polarity</t>
  </si>
  <si>
    <t>Exp 5a: Empirical Formula</t>
  </si>
  <si>
    <t>Week 9</t>
  </si>
  <si>
    <t> Monday: Chapter 6: Molecular Shape and Polarity; Tuesday: Chapter 6: IMFs</t>
  </si>
  <si>
    <t>Chapter 5 (The Mole)</t>
  </si>
  <si>
    <t>Wednesday: Chapter 6: IMFs</t>
  </si>
  <si>
    <t>Chapter 7: States of Matter and Properties of Solids and Liquids; </t>
  </si>
  <si>
    <t>Thursday: Chapter 7: States of Matter and Properties of Solids and Liquids</t>
  </si>
  <si>
    <t>Exp 6a: Molecular Modeling</t>
  </si>
  <si>
    <t>Week 10</t>
  </si>
  <si>
    <t> Chapter 7: Heat Capacity and Phase Changes</t>
  </si>
  <si>
    <t>Exp 7a: Calorimetry</t>
  </si>
  <si>
    <t>Week 11</t>
  </si>
  <si>
    <t> Chapter 8: Partial Pressure</t>
  </si>
  <si>
    <r>
      <t> </t>
    </r>
    <r>
      <rPr>
        <sz val="10"/>
        <color theme="1"/>
        <rFont val="Calibri"/>
        <family val="2"/>
      </rPr>
      <t>Chapter 6 (Molecular Structure and Shape)</t>
    </r>
  </si>
  <si>
    <t>Chapter 7 (Phase Changes and heat)</t>
  </si>
  <si>
    <t>Chapter 9: Solutions and Solubility</t>
  </si>
  <si>
    <t>Exp 8a: Determination of Ideal Gas Constant, R</t>
  </si>
  <si>
    <t>Spring Break</t>
  </si>
  <si>
    <t>Week 12</t>
  </si>
  <si>
    <t> Chapter 9: Units of Concentration and Colligative Properties</t>
  </si>
  <si>
    <t>Exp 9a: Solutions and Dilutions</t>
  </si>
  <si>
    <t>Week 13</t>
  </si>
  <si>
    <t> Chapter 10: Predicting Products of Chemical Reactions</t>
  </si>
  <si>
    <r>
      <t> </t>
    </r>
    <r>
      <rPr>
        <sz val="10"/>
        <color theme="1"/>
        <rFont val="Calibri"/>
        <family val="2"/>
      </rPr>
      <t>Chapter 8 (Gases)</t>
    </r>
  </si>
  <si>
    <t>Chapter 9 (Solutions)</t>
  </si>
  <si>
    <t>Exp 10a: Types of Reactions</t>
  </si>
  <si>
    <t>Week 14</t>
  </si>
  <si>
    <t> Monday: Chapter 11: Stoichiometry</t>
  </si>
  <si>
    <t>Chapter 11: Limiting Reactant and Yield </t>
  </si>
  <si>
    <t>Exp 11a: Synthesis of Alum</t>
  </si>
  <si>
    <t>Week 15</t>
  </si>
  <si>
    <t> Chapter 12: Acids and Bases</t>
  </si>
  <si>
    <t>Chapter 10 (Chemical Reactions)</t>
  </si>
  <si>
    <t>Chapter 11 (Stoichiometry)</t>
  </si>
  <si>
    <t>Exp 12b: Determination of Citric Acid in Soda</t>
  </si>
  <si>
    <t>Week 16</t>
  </si>
  <si>
    <t> Chapter 13: Equilibrium and the Equilibrium Constant</t>
  </si>
  <si>
    <t>Wednesday: Chapter 13: Shifting Equilibria (Le Chatlier's Principle) and Ch. 14 Nuclear Chemistry</t>
  </si>
  <si>
    <t>Quiz Retakes, Make-up Labs</t>
  </si>
  <si>
    <t>Week 17</t>
  </si>
  <si>
    <t> Chapter 14: Nuclear Chemistry</t>
  </si>
  <si>
    <t>SPRING BREAK</t>
  </si>
  <si>
    <t>1a</t>
  </si>
  <si>
    <t>ch1</t>
  </si>
  <si>
    <t>Ch 2,3</t>
  </si>
  <si>
    <t>HW1, sht 4a</t>
  </si>
  <si>
    <t>Ch 3,4</t>
  </si>
  <si>
    <t>Sht 4b</t>
  </si>
  <si>
    <t>Open time</t>
  </si>
  <si>
    <t>Tu review, Th exam</t>
  </si>
  <si>
    <t>Exp 4a</t>
  </si>
  <si>
    <t>Ch 5,6</t>
  </si>
  <si>
    <t>Ch 6,7</t>
  </si>
  <si>
    <t>Exp 4b</t>
  </si>
  <si>
    <t>Exp 5a</t>
  </si>
  <si>
    <t>Exp 6a</t>
  </si>
  <si>
    <t>Exp 7a</t>
  </si>
  <si>
    <t>Exp 8a</t>
  </si>
  <si>
    <t>Exp 9a</t>
  </si>
  <si>
    <t>Exp 10a</t>
  </si>
  <si>
    <t>Exp 11a</t>
  </si>
  <si>
    <t>Exp 12b</t>
  </si>
  <si>
    <t>sci notation + sig digs</t>
  </si>
  <si>
    <t>"getting started"</t>
  </si>
  <si>
    <t>sig in calc + dim analysis</t>
  </si>
  <si>
    <t>team communicity agreement</t>
  </si>
  <si>
    <t>Exp 1a</t>
  </si>
  <si>
    <t>Ch 2</t>
  </si>
  <si>
    <t>Ch 3</t>
  </si>
  <si>
    <t>Exp 2a</t>
  </si>
  <si>
    <t>Ch 3, 4</t>
  </si>
  <si>
    <t xml:space="preserve">Ch 4,5 </t>
  </si>
  <si>
    <t>make ups, retakes</t>
  </si>
  <si>
    <t>Ch 5</t>
  </si>
  <si>
    <t>Ch5,6</t>
  </si>
  <si>
    <t>Ch 7, 8</t>
  </si>
  <si>
    <t>Ch 8, 9</t>
  </si>
  <si>
    <t>Ch9,10</t>
  </si>
  <si>
    <t>Ch 10</t>
  </si>
  <si>
    <t>Ch 11</t>
  </si>
  <si>
    <t>Ch 12</t>
  </si>
  <si>
    <t>Ch 13</t>
  </si>
  <si>
    <t>Ch 14</t>
  </si>
  <si>
    <t>Retakes</t>
  </si>
  <si>
    <t>Lap Practical</t>
  </si>
  <si>
    <t>Final Exam Prep</t>
  </si>
  <si>
    <t>Exam 4</t>
  </si>
  <si>
    <t>Open Study time?</t>
  </si>
  <si>
    <t>Ch14 + review</t>
  </si>
  <si>
    <t>Ch 12,13</t>
  </si>
  <si>
    <t>Exam #3</t>
  </si>
  <si>
    <t>Ch 9, 10</t>
  </si>
  <si>
    <t>Ch 8,9</t>
  </si>
  <si>
    <t>Exam #2</t>
  </si>
  <si>
    <t>Ch 7</t>
  </si>
  <si>
    <t>Section: 19320
Exp 1a: Making Measurements</t>
  </si>
  <si>
    <t>Section: 19321
Exp 1a: Making Measurements</t>
  </si>
  <si>
    <t>Data Report: EXP 1A: Making Measurements</t>
  </si>
  <si>
    <t>Section: 19320
Expt 2a: Electrons</t>
  </si>
  <si>
    <t>Section: 19321
Expt 2a: Electrons</t>
  </si>
  <si>
    <t>Data Report: Expt 2a Electrons</t>
  </si>
  <si>
    <t>Pre-Lab Quiz: Electrons</t>
  </si>
  <si>
    <t>Section: 19320
Expt 4a: Law of Constant Composition</t>
  </si>
  <si>
    <t>Section: 19321
Expt 4a: Law of Constant Composition</t>
  </si>
  <si>
    <t>Section: 19320
Expt 4b: Rolling for Compound Initiative</t>
  </si>
  <si>
    <t>Section: 19321
Expt 4b: Rolling for Compound Initiative</t>
  </si>
  <si>
    <t>Section: 19320
Expt 5a: Empirical Formula</t>
  </si>
  <si>
    <t>Section: 19321
Expt 5a: Empirical Formula</t>
  </si>
  <si>
    <t>Section: 19320
Expt 6a: Molecular Modeling</t>
  </si>
  <si>
    <t>Section: 19321
Expt 6a: Molecular Modeling</t>
  </si>
  <si>
    <t>Section: 19320
Expt 7a: Calorimetry</t>
  </si>
  <si>
    <t>Section: 19321
Expt 7a: Calorimetry</t>
  </si>
  <si>
    <t>Section: 19320
Expt 8a: Determination of Ideal Gas Constant, R</t>
  </si>
  <si>
    <t>Section: 19321
Expt 8a: Determination of Ideal Gas Constant, R</t>
  </si>
  <si>
    <t>Section: 19320
Expt 9a: Solutins and Dilutions</t>
  </si>
  <si>
    <t>Section: 19321
Expt 9a: Solutins and Dilutions</t>
  </si>
  <si>
    <t>Section: 19320
Expt 10a: Types of Reactions</t>
  </si>
  <si>
    <t>Section: 19321
Expt 10a: Types of Reactions</t>
  </si>
  <si>
    <t>Section: 19320
Expt 11a: Synthesis of Alum</t>
  </si>
  <si>
    <t>Section: 19321
Expt 11a: Synthesis of Alum</t>
  </si>
  <si>
    <t>Section: 19320
Expt 12b: Determination of Citric Acid Content in Soda</t>
  </si>
  <si>
    <t>Section: 19321
Expt 12b: Determination of Citric Acid Content in Soda</t>
  </si>
  <si>
    <t>Section: 19320
Lab Safety  Exp 0a</t>
  </si>
  <si>
    <t>Section: 19320
No Experiments, TBA</t>
  </si>
  <si>
    <t>Section: 19321
No Experiments, TBA</t>
  </si>
  <si>
    <t>Pre-Lab Quiz: EXP 8a Gas Production</t>
  </si>
  <si>
    <t>Pre-Lab Quiz: EXP 9a - Solutions and Dilutions</t>
  </si>
  <si>
    <t>Pre-Lab Quiz: 10a Reaction Types</t>
  </si>
  <si>
    <t>Pre-Lab Quiz: EXP 11a Synthesis of Alum</t>
  </si>
  <si>
    <t>Pre-Lab Quiz: EXP 12b Determination of Citric Acid</t>
  </si>
  <si>
    <t xml:space="preserve">Section: 19320 and 19321
5:00 pm - 6:20 pm </t>
  </si>
  <si>
    <t>Practice For Final</t>
  </si>
  <si>
    <t>Review for Lab Practical</t>
  </si>
  <si>
    <t>Read pp 5-8 (Lab Safety ) and  pp 9-10,12-15 (Expt 0a Intro &amp; Parts 2 and 3)</t>
  </si>
  <si>
    <t>Read: 1.1-1.5</t>
  </si>
  <si>
    <t>Pre-Lecture Quiz: 1.1-1.5</t>
  </si>
  <si>
    <t>Lecture Set 1: Scientific Notation, Significant Digits</t>
  </si>
  <si>
    <t>Lecture Set 1: Conversions, Density, Temperature</t>
  </si>
  <si>
    <t>HW: Math Review and Lecture Set 1 - Measurements (Significant Figures/Scientific Notation/Rounding)</t>
  </si>
  <si>
    <t>Lecture Set 2: Atomic Structure and Periodic Table</t>
  </si>
  <si>
    <t>Lecture Set 2: Ions, Isotopes and Atomic Mass</t>
  </si>
  <si>
    <t>HW: Lecture Set 1 - Measurements (Dimensional Analysis) and 
Lecture Set 2 - Atoms &amp; Elements</t>
  </si>
  <si>
    <t>QUIZ: POLYATOMIC IONS!
Lecture Set 3: Light and Quantum Mechanical Model of the Atom</t>
  </si>
  <si>
    <t>Lecture Set 3: Electron Configurations and Periodic Trends</t>
  </si>
  <si>
    <t>HW: Lecture Set 3 - Electrons and the Periodic Table</t>
  </si>
  <si>
    <t>EXAM 1: Lecture Set 1-3</t>
  </si>
  <si>
    <t>Lecture Set 4: Elements, Compounds and Mixtures</t>
  </si>
  <si>
    <t>HW: Lecture Set 4 - Compounds and Chemical Bonds</t>
  </si>
  <si>
    <t>Lecture Set 4: Nomenclature</t>
  </si>
  <si>
    <t>Lecture Set 5: The Mole &amp; Molar Mass</t>
  </si>
  <si>
    <t>HW: Lecture Set 5 - The Mole and Chemical Formulas</t>
  </si>
  <si>
    <t>Lecture Set 5: Empirical Formula &amp; Molecular Formula</t>
  </si>
  <si>
    <t>Lecture Set 6: Lewis Structures and Molecular Shape</t>
  </si>
  <si>
    <t>HW: Lecture Set 5 &amp; 6</t>
  </si>
  <si>
    <t>Lecture Set 6: Molecular Polarity &amp; IMFs</t>
  </si>
  <si>
    <t>Lecture Set 7: Properties of Solids and Liquids</t>
  </si>
  <si>
    <t>HW: Lecture Set 6 &amp; 7</t>
  </si>
  <si>
    <t>Lecture Set 7: Energy, Heat Capacity and Phase Changes</t>
  </si>
  <si>
    <t>Lecture Set 8: Gas Laws</t>
  </si>
  <si>
    <t>HW: Lecture Set 7 &amp; 8</t>
  </si>
  <si>
    <t>EXAM 2: Lecture Set 4-7</t>
  </si>
  <si>
    <t>Lecture Set 8: Partial Pressure</t>
  </si>
  <si>
    <t>HW: Lecture Set 8</t>
  </si>
  <si>
    <t>Lecture Set 9: Solutions and Units of Concentration</t>
  </si>
  <si>
    <t>Lecture Set 9: Colligative Properties</t>
  </si>
  <si>
    <t>HW: Lecture Set 9</t>
  </si>
  <si>
    <t>Lecture Set 10: Types of Chemical Reactions &amp; Balancing</t>
  </si>
  <si>
    <t>Lecture Set 10: Predicting Products of Chemical Reactions</t>
  </si>
  <si>
    <t>HW: Lecture Set 10</t>
  </si>
  <si>
    <t>Lecture Set 10: Redox Reactions &amp; the Activity Series</t>
  </si>
  <si>
    <t>Lecture Set 11: General Stoichiometry &amp; Enthalpy</t>
  </si>
  <si>
    <t>HW: Lecture Set 10 &amp; 11</t>
  </si>
  <si>
    <t>EXAM 3: Lecture Set 8-10</t>
  </si>
  <si>
    <t>Lecture Set 11: Limiting Reactant and Yield</t>
  </si>
  <si>
    <t>HW: Lecture Set 11</t>
  </si>
  <si>
    <t>Lecture Set 12: Acids and Bases</t>
  </si>
  <si>
    <t>Lecture Set 12: pH Calculations</t>
  </si>
  <si>
    <t>HW: Lecture Set 12</t>
  </si>
  <si>
    <t>Lecture Set 13: Equilibrium and the Equilibrium Constant</t>
  </si>
  <si>
    <t>Lecture Set 13: Shifting Equilibria (Le Chatlier's Principle)</t>
  </si>
  <si>
    <t>HW: Lecture Set 13</t>
  </si>
  <si>
    <t>Lecture Set 14: Nuclear Chemistry</t>
  </si>
  <si>
    <t>HW: Lecture Set 14</t>
  </si>
  <si>
    <t>EXAM 4: Lecture Set 11-14</t>
  </si>
  <si>
    <t>Section: 19321
Lab Safety  Exp 0a</t>
  </si>
  <si>
    <t>Lab Safety  Exp 0a</t>
  </si>
  <si>
    <t>No Expt</t>
  </si>
  <si>
    <t>No Lab</t>
  </si>
  <si>
    <t>Expt 12b: Determination of Citric Acid Content in Soda</t>
  </si>
  <si>
    <t>Expt 9a: Solutins and Dilutions</t>
  </si>
  <si>
    <t>Expt 10a: Types of Reactions</t>
  </si>
  <si>
    <t>Expt 11a: Synthesis of Alum</t>
  </si>
  <si>
    <t>Expt 8a: Determination of Ideal Gas Constant, R</t>
  </si>
  <si>
    <t>Expt 7a: Calorimetry</t>
  </si>
  <si>
    <t>Expt 6a: Molecular Modeling</t>
  </si>
  <si>
    <t>Expt 5a: Empirical Formula</t>
  </si>
  <si>
    <t>Expt 4b: Rolling for Compound Initiative</t>
  </si>
  <si>
    <t>Expt 4a: Law of Constant Composition</t>
  </si>
  <si>
    <t>Expt 2a: Atomic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</si>
</sst>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Arial"/>
      <family val="2"/>
    </font>
    <font>
      <sz val="11"/>
      <color rgb="FF003B4C"/>
      <name val="ProximaNova"/>
    </font>
    <font>
      <b/>
      <u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9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12"/>
      <color rgb="FF000000"/>
      <name val="Calibri"/>
      <family val="2"/>
    </font>
    <font>
      <sz val="10"/>
      <color theme="1"/>
      <name val="Calibri"/>
      <family val="2"/>
    </font>
    <font>
      <i/>
      <sz val="10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3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896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898BA"/>
        <bgColor indexed="64"/>
      </patternFill>
    </fill>
    <fill>
      <patternFill patternType="solid">
        <fgColor theme="1" tint="0.14996795556505021"/>
        <bgColor indexed="64"/>
      </patternFill>
    </fill>
  </fills>
  <borders count="51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DDDDDD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rgb="FFDDDDDD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/>
      <top/>
      <bottom style="medium">
        <color rgb="FF9CC2E5"/>
      </bottom>
      <diagonal/>
    </border>
    <border>
      <left/>
      <right style="medium">
        <color rgb="FF9CC2E5"/>
      </right>
      <top/>
      <bottom/>
      <diagonal/>
    </border>
    <border>
      <left/>
      <right style="medium">
        <color rgb="FF9CC2E5"/>
      </right>
      <top/>
      <bottom style="medium">
        <color rgb="FF9CC2E5"/>
      </bottom>
      <diagonal/>
    </border>
    <border>
      <left style="medium">
        <color rgb="FF9CC2E5"/>
      </left>
      <right/>
      <top/>
      <bottom/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/>
      <diagonal/>
    </border>
    <border>
      <left style="medium">
        <color rgb="FF9CC2E5"/>
      </left>
      <right style="medium">
        <color rgb="FF9CC2E5"/>
      </right>
      <top/>
      <bottom/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1" fillId="0" borderId="0" xfId="0" applyFont="1"/>
    <xf numFmtId="0" fontId="6" fillId="3" borderId="13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6" fillId="0" borderId="16" xfId="0" applyFont="1" applyBorder="1" applyAlignment="1">
      <alignment wrapText="1"/>
    </xf>
    <xf numFmtId="0" fontId="6" fillId="0" borderId="11" xfId="0" applyFont="1" applyBorder="1" applyAlignment="1">
      <alignment vertical="center" wrapText="1"/>
    </xf>
    <xf numFmtId="0" fontId="0" fillId="0" borderId="18" xfId="0" applyBorder="1"/>
    <xf numFmtId="0" fontId="6" fillId="0" borderId="21" xfId="0" applyFont="1" applyBorder="1" applyAlignment="1">
      <alignment wrapText="1"/>
    </xf>
    <xf numFmtId="0" fontId="6" fillId="0" borderId="22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23" xfId="0" applyFont="1" applyBorder="1" applyAlignment="1">
      <alignment wrapText="1"/>
    </xf>
    <xf numFmtId="0" fontId="7" fillId="6" borderId="11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6" fillId="0" borderId="24" xfId="0" applyFont="1" applyBorder="1" applyAlignment="1">
      <alignment wrapText="1"/>
    </xf>
    <xf numFmtId="0" fontId="6" fillId="5" borderId="11" xfId="0" applyFont="1" applyFill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wrapText="1"/>
    </xf>
    <xf numFmtId="0" fontId="5" fillId="0" borderId="11" xfId="0" applyFont="1" applyBorder="1" applyAlignment="1">
      <alignment vertical="center" wrapText="1"/>
    </xf>
    <xf numFmtId="14" fontId="5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vertical="center" wrapText="1"/>
    </xf>
    <xf numFmtId="0" fontId="6" fillId="0" borderId="13" xfId="0" applyFont="1" applyBorder="1" applyAlignment="1">
      <alignment wrapText="1"/>
    </xf>
    <xf numFmtId="0" fontId="6" fillId="0" borderId="11" xfId="0" applyFont="1" applyBorder="1"/>
    <xf numFmtId="14" fontId="5" fillId="0" borderId="26" xfId="0" applyNumberFormat="1" applyFont="1" applyBorder="1" applyAlignment="1">
      <alignment horizontal="center" wrapText="1"/>
    </xf>
    <xf numFmtId="0" fontId="7" fillId="6" borderId="0" xfId="0" applyFont="1" applyFill="1" applyAlignment="1">
      <alignment vertical="center" wrapText="1"/>
    </xf>
    <xf numFmtId="0" fontId="4" fillId="0" borderId="0" xfId="0" applyFont="1"/>
    <xf numFmtId="0" fontId="6" fillId="8" borderId="9" xfId="0" applyFont="1" applyFill="1" applyBorder="1" applyAlignment="1">
      <alignment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9" borderId="11" xfId="0" applyFont="1" applyFill="1" applyBorder="1" applyAlignment="1">
      <alignment vertical="center" wrapText="1"/>
    </xf>
    <xf numFmtId="0" fontId="5" fillId="9" borderId="11" xfId="0" applyFont="1" applyFill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5" fillId="0" borderId="11" xfId="0" applyFont="1" applyBorder="1" applyAlignment="1">
      <alignment wrapText="1"/>
    </xf>
    <xf numFmtId="0" fontId="5" fillId="7" borderId="8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5" fillId="4" borderId="14" xfId="0" applyFont="1" applyFill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7" borderId="14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4" borderId="17" xfId="0" applyFont="1" applyFill="1" applyBorder="1" applyAlignment="1">
      <alignment vertical="center" wrapText="1"/>
    </xf>
    <xf numFmtId="0" fontId="5" fillId="0" borderId="26" xfId="0" applyFont="1" applyBorder="1"/>
    <xf numFmtId="0" fontId="5" fillId="0" borderId="5" xfId="0" applyFont="1" applyBorder="1"/>
    <xf numFmtId="0" fontId="5" fillId="2" borderId="27" xfId="0" applyFont="1" applyFill="1" applyBorder="1" applyAlignment="1">
      <alignment vertical="center" wrapText="1"/>
    </xf>
    <xf numFmtId="0" fontId="5" fillId="4" borderId="27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7" borderId="28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6" fontId="0" fillId="0" borderId="0" xfId="0" applyNumberFormat="1"/>
    <xf numFmtId="0" fontId="6" fillId="11" borderId="11" xfId="0" applyFont="1" applyFill="1" applyBorder="1" applyAlignment="1">
      <alignment wrapText="1"/>
    </xf>
    <xf numFmtId="0" fontId="6" fillId="11" borderId="11" xfId="0" applyFont="1" applyFill="1" applyBorder="1" applyAlignment="1">
      <alignment vertical="center" wrapText="1"/>
    </xf>
    <xf numFmtId="0" fontId="6" fillId="11" borderId="13" xfId="0" applyFont="1" applyFill="1" applyBorder="1" applyAlignment="1">
      <alignment vertical="center" wrapText="1"/>
    </xf>
    <xf numFmtId="0" fontId="5" fillId="11" borderId="11" xfId="0" applyFont="1" applyFill="1" applyBorder="1" applyAlignment="1">
      <alignment vertical="center" wrapText="1"/>
    </xf>
    <xf numFmtId="14" fontId="11" fillId="0" borderId="5" xfId="0" applyNumberFormat="1" applyFont="1" applyBorder="1" applyAlignment="1">
      <alignment horizontal="center" wrapText="1"/>
    </xf>
    <xf numFmtId="0" fontId="0" fillId="0" borderId="24" xfId="0" applyBorder="1" applyAlignment="1">
      <alignment vertical="center" wrapText="1"/>
    </xf>
    <xf numFmtId="0" fontId="1" fillId="0" borderId="26" xfId="0" applyFont="1" applyBorder="1"/>
    <xf numFmtId="14" fontId="1" fillId="0" borderId="5" xfId="0" applyNumberFormat="1" applyFont="1" applyBorder="1" applyAlignment="1">
      <alignment horizontal="center" wrapText="1"/>
    </xf>
    <xf numFmtId="0" fontId="1" fillId="0" borderId="5" xfId="0" applyFont="1" applyBorder="1"/>
    <xf numFmtId="14" fontId="1" fillId="0" borderId="26" xfId="0" applyNumberFormat="1" applyFont="1" applyBorder="1" applyAlignment="1">
      <alignment horizontal="center" wrapText="1"/>
    </xf>
    <xf numFmtId="0" fontId="0" fillId="0" borderId="25" xfId="0" applyBorder="1" applyAlignment="1">
      <alignment vertical="center" wrapText="1"/>
    </xf>
    <xf numFmtId="0" fontId="0" fillId="15" borderId="0" xfId="0" applyFill="1"/>
    <xf numFmtId="0" fontId="16" fillId="15" borderId="32" xfId="0" applyFont="1" applyFill="1" applyBorder="1" applyAlignment="1">
      <alignment horizontal="right" vertical="center" wrapText="1"/>
    </xf>
    <xf numFmtId="0" fontId="17" fillId="15" borderId="32" xfId="0" applyFont="1" applyFill="1" applyBorder="1" applyAlignment="1">
      <alignment vertical="center" wrapText="1"/>
    </xf>
    <xf numFmtId="0" fontId="15" fillId="15" borderId="0" xfId="0" applyFont="1" applyFill="1" applyAlignment="1">
      <alignment vertical="center" wrapText="1"/>
    </xf>
    <xf numFmtId="0" fontId="18" fillId="15" borderId="33" xfId="0" applyFont="1" applyFill="1" applyBorder="1" applyAlignment="1">
      <alignment horizontal="right" vertical="center" wrapText="1"/>
    </xf>
    <xf numFmtId="0" fontId="19" fillId="15" borderId="33" xfId="0" applyFont="1" applyFill="1" applyBorder="1" applyAlignment="1">
      <alignment horizontal="right" vertical="center" wrapText="1"/>
    </xf>
    <xf numFmtId="0" fontId="20" fillId="15" borderId="33" xfId="0" applyFont="1" applyFill="1" applyBorder="1" applyAlignment="1">
      <alignment horizontal="right" vertical="center" wrapText="1"/>
    </xf>
    <xf numFmtId="14" fontId="20" fillId="15" borderId="33" xfId="0" applyNumberFormat="1" applyFont="1" applyFill="1" applyBorder="1" applyAlignment="1">
      <alignment horizontal="right" vertical="center" wrapText="1"/>
    </xf>
    <xf numFmtId="0" fontId="21" fillId="15" borderId="33" xfId="0" applyFont="1" applyFill="1" applyBorder="1" applyAlignment="1">
      <alignment vertical="center" wrapText="1"/>
    </xf>
    <xf numFmtId="0" fontId="19" fillId="15" borderId="33" xfId="0" applyFont="1" applyFill="1" applyBorder="1" applyAlignment="1">
      <alignment vertical="center" wrapText="1"/>
    </xf>
    <xf numFmtId="0" fontId="19" fillId="15" borderId="34" xfId="0" applyFont="1" applyFill="1" applyBorder="1" applyAlignment="1">
      <alignment vertical="center" wrapText="1"/>
    </xf>
    <xf numFmtId="0" fontId="0" fillId="15" borderId="33" xfId="0" applyFill="1" applyBorder="1" applyAlignment="1">
      <alignment vertical="top" wrapText="1"/>
    </xf>
    <xf numFmtId="0" fontId="0" fillId="15" borderId="34" xfId="0" applyFill="1" applyBorder="1" applyAlignment="1">
      <alignment vertical="top" wrapText="1"/>
    </xf>
    <xf numFmtId="0" fontId="0" fillId="15" borderId="33" xfId="0" applyFill="1" applyBorder="1" applyAlignment="1">
      <alignment vertical="center" wrapText="1"/>
    </xf>
    <xf numFmtId="0" fontId="13" fillId="15" borderId="34" xfId="0" applyFont="1" applyFill="1" applyBorder="1" applyAlignment="1">
      <alignment vertical="top" wrapText="1"/>
    </xf>
    <xf numFmtId="0" fontId="13" fillId="15" borderId="33" xfId="0" applyFont="1" applyFill="1" applyBorder="1" applyAlignment="1">
      <alignment vertical="top" wrapText="1"/>
    </xf>
    <xf numFmtId="14" fontId="12" fillId="17" borderId="5" xfId="0" applyNumberFormat="1" applyFont="1" applyFill="1" applyBorder="1" applyAlignment="1">
      <alignment horizontal="center" wrapText="1"/>
    </xf>
    <xf numFmtId="14" fontId="24" fillId="17" borderId="5" xfId="0" applyNumberFormat="1" applyFont="1" applyFill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/>
    </xf>
    <xf numFmtId="0" fontId="1" fillId="13" borderId="41" xfId="0" applyFont="1" applyFill="1" applyBorder="1" applyAlignment="1">
      <alignment vertical="center" wrapText="1"/>
    </xf>
    <xf numFmtId="0" fontId="0" fillId="8" borderId="42" xfId="0" applyFill="1" applyBorder="1" applyAlignment="1">
      <alignment vertical="center" wrapText="1"/>
    </xf>
    <xf numFmtId="0" fontId="0" fillId="8" borderId="43" xfId="0" applyFill="1" applyBorder="1" applyAlignment="1">
      <alignment vertical="center" wrapText="1"/>
    </xf>
    <xf numFmtId="0" fontId="1" fillId="2" borderId="44" xfId="0" applyFont="1" applyFill="1" applyBorder="1" applyAlignment="1">
      <alignment vertical="center" wrapText="1"/>
    </xf>
    <xf numFmtId="0" fontId="0" fillId="3" borderId="45" xfId="0" applyFill="1" applyBorder="1" applyAlignment="1">
      <alignment vertical="center" wrapText="1"/>
    </xf>
    <xf numFmtId="0" fontId="0" fillId="3" borderId="46" xfId="0" applyFill="1" applyBorder="1" applyAlignment="1">
      <alignment vertical="center" wrapText="1"/>
    </xf>
    <xf numFmtId="0" fontId="1" fillId="12" borderId="44" xfId="0" applyFont="1" applyFill="1" applyBorder="1" applyAlignment="1">
      <alignment vertical="center" wrapText="1"/>
    </xf>
    <xf numFmtId="0" fontId="0" fillId="5" borderId="45" xfId="0" applyFill="1" applyBorder="1" applyAlignment="1">
      <alignment vertical="center" wrapText="1"/>
    </xf>
    <xf numFmtId="0" fontId="0" fillId="5" borderId="46" xfId="0" applyFill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0" fillId="0" borderId="45" xfId="0" applyBorder="1" applyAlignment="1">
      <alignment vertical="center" wrapText="1"/>
    </xf>
    <xf numFmtId="0" fontId="0" fillId="0" borderId="45" xfId="0" applyBorder="1" applyAlignment="1">
      <alignment wrapText="1"/>
    </xf>
    <xf numFmtId="0" fontId="0" fillId="0" borderId="45" xfId="0" applyBorder="1" applyAlignment="1">
      <alignment vertical="top" wrapText="1"/>
    </xf>
    <xf numFmtId="0" fontId="0" fillId="0" borderId="46" xfId="0" applyBorder="1" applyAlignment="1">
      <alignment vertical="center" wrapText="1"/>
    </xf>
    <xf numFmtId="0" fontId="0" fillId="0" borderId="48" xfId="0" applyBorder="1" applyAlignment="1">
      <alignment wrapText="1"/>
    </xf>
    <xf numFmtId="0" fontId="0" fillId="8" borderId="42" xfId="0" applyFill="1" applyBorder="1" applyAlignment="1">
      <alignment vertical="top" wrapText="1"/>
    </xf>
    <xf numFmtId="0" fontId="0" fillId="8" borderId="43" xfId="0" applyFill="1" applyBorder="1" applyAlignment="1">
      <alignment vertical="top" wrapText="1"/>
    </xf>
    <xf numFmtId="0" fontId="0" fillId="3" borderId="45" xfId="0" applyFill="1" applyBorder="1" applyAlignment="1">
      <alignment vertical="top" wrapText="1"/>
    </xf>
    <xf numFmtId="0" fontId="0" fillId="3" borderId="46" xfId="0" applyFill="1" applyBorder="1" applyAlignment="1">
      <alignment vertical="top" wrapText="1"/>
    </xf>
    <xf numFmtId="0" fontId="0" fillId="5" borderId="45" xfId="0" applyFill="1" applyBorder="1" applyAlignment="1">
      <alignment vertical="top" wrapText="1"/>
    </xf>
    <xf numFmtId="0" fontId="0" fillId="5" borderId="46" xfId="0" applyFill="1" applyBorder="1" applyAlignment="1">
      <alignment vertical="top" wrapText="1"/>
    </xf>
    <xf numFmtId="0" fontId="0" fillId="0" borderId="46" xfId="0" applyBorder="1" applyAlignment="1">
      <alignment vertical="top" wrapText="1"/>
    </xf>
    <xf numFmtId="0" fontId="1" fillId="0" borderId="47" xfId="0" applyFont="1" applyBorder="1" applyAlignment="1">
      <alignment vertical="center" wrapText="1"/>
    </xf>
    <xf numFmtId="0" fontId="14" fillId="14" borderId="48" xfId="0" applyFont="1" applyFill="1" applyBorder="1" applyAlignment="1">
      <alignment wrapText="1"/>
    </xf>
    <xf numFmtId="0" fontId="0" fillId="0" borderId="49" xfId="0" applyBorder="1" applyAlignment="1">
      <alignment wrapText="1"/>
    </xf>
    <xf numFmtId="0" fontId="0" fillId="9" borderId="45" xfId="0" applyFill="1" applyBorder="1" applyAlignment="1">
      <alignment vertical="top" wrapText="1"/>
    </xf>
    <xf numFmtId="0" fontId="0" fillId="0" borderId="48" xfId="0" applyBorder="1" applyAlignment="1">
      <alignment vertical="top" wrapText="1"/>
    </xf>
    <xf numFmtId="0" fontId="0" fillId="0" borderId="49" xfId="0" applyBorder="1" applyAlignment="1">
      <alignment vertical="top" wrapText="1"/>
    </xf>
    <xf numFmtId="0" fontId="1" fillId="9" borderId="45" xfId="0" applyFont="1" applyFill="1" applyBorder="1" applyAlignment="1">
      <alignment vertical="top" wrapText="1"/>
    </xf>
    <xf numFmtId="0" fontId="14" fillId="14" borderId="48" xfId="0" applyFont="1" applyFill="1" applyBorder="1" applyAlignment="1">
      <alignment vertical="top" wrapText="1"/>
    </xf>
    <xf numFmtId="0" fontId="1" fillId="0" borderId="45" xfId="0" applyFont="1" applyBorder="1" applyAlignment="1">
      <alignment vertical="top" wrapText="1"/>
    </xf>
    <xf numFmtId="0" fontId="1" fillId="0" borderId="50" xfId="0" applyFont="1" applyBorder="1" applyAlignment="1">
      <alignment vertical="center" wrapText="1"/>
    </xf>
    <xf numFmtId="0" fontId="0" fillId="0" borderId="31" xfId="0" applyBorder="1" applyAlignment="1">
      <alignment vertical="top" wrapText="1"/>
    </xf>
    <xf numFmtId="0" fontId="1" fillId="7" borderId="41" xfId="0" applyFont="1" applyFill="1" applyBorder="1" applyAlignment="1">
      <alignment vertical="center" wrapText="1"/>
    </xf>
    <xf numFmtId="0" fontId="1" fillId="9" borderId="45" xfId="0" applyFont="1" applyFill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1" fillId="0" borderId="48" xfId="0" applyFont="1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" fillId="0" borderId="30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4" fontId="23" fillId="16" borderId="26" xfId="0" applyNumberFormat="1" applyFont="1" applyFill="1" applyBorder="1" applyAlignment="1">
      <alignment horizontal="center" vertical="center" wrapText="1"/>
    </xf>
    <xf numFmtId="14" fontId="23" fillId="16" borderId="5" xfId="0" applyNumberFormat="1" applyFont="1" applyFill="1" applyBorder="1" applyAlignment="1">
      <alignment horizontal="center" vertical="center" wrapText="1"/>
    </xf>
    <xf numFmtId="14" fontId="23" fillId="16" borderId="6" xfId="0" applyNumberFormat="1" applyFont="1" applyFill="1" applyBorder="1" applyAlignment="1">
      <alignment horizontal="center" vertical="center" wrapText="1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15" fillId="15" borderId="35" xfId="0" applyFont="1" applyFill="1" applyBorder="1" applyAlignment="1">
      <alignment vertical="center" wrapText="1"/>
    </xf>
    <xf numFmtId="0" fontId="19" fillId="15" borderId="36" xfId="0" applyFont="1" applyFill="1" applyBorder="1" applyAlignment="1">
      <alignment vertical="center" wrapText="1"/>
    </xf>
    <xf numFmtId="0" fontId="19" fillId="15" borderId="37" xfId="0" applyFont="1" applyFill="1" applyBorder="1" applyAlignment="1">
      <alignment vertical="center" wrapText="1"/>
    </xf>
    <xf numFmtId="0" fontId="19" fillId="15" borderId="38" xfId="0" applyFont="1" applyFill="1" applyBorder="1" applyAlignment="1">
      <alignment vertical="center" wrapText="1"/>
    </xf>
    <xf numFmtId="0" fontId="21" fillId="15" borderId="36" xfId="0" applyFont="1" applyFill="1" applyBorder="1" applyAlignment="1">
      <alignment vertical="center" wrapText="1"/>
    </xf>
    <xf numFmtId="0" fontId="21" fillId="15" borderId="37" xfId="0" applyFont="1" applyFill="1" applyBorder="1" applyAlignment="1">
      <alignment vertical="center" wrapText="1"/>
    </xf>
    <xf numFmtId="0" fontId="21" fillId="15" borderId="38" xfId="0" applyFont="1" applyFill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10" borderId="9" xfId="0" applyFont="1" applyFill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11" fillId="5" borderId="45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wrapText="1"/>
    </xf>
    <xf numFmtId="14" fontId="25" fillId="17" borderId="5" xfId="0" applyNumberFormat="1" applyFont="1" applyFill="1" applyBorder="1" applyAlignment="1">
      <alignment horizontal="center" wrapText="1"/>
    </xf>
    <xf numFmtId="0" fontId="0" fillId="0" borderId="0" xfId="0" applyFont="1" applyAlignment="1">
      <alignment wrapText="1"/>
    </xf>
    <xf numFmtId="0" fontId="11" fillId="5" borderId="4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595"/>
      <color rgb="FF9898BA"/>
      <color rgb="FF666699"/>
      <color rgb="FFFF896D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E2D1-1B55-4257-9F5B-23AFCCB5BDE7}">
  <sheetPr>
    <pageSetUpPr fitToPage="1"/>
  </sheetPr>
  <dimension ref="A1:H44"/>
  <sheetViews>
    <sheetView tabSelected="1" zoomScaleNormal="100" workbookViewId="0">
      <selection sqref="A1:C37"/>
    </sheetView>
  </sheetViews>
  <sheetFormatPr defaultColWidth="8.85546875" defaultRowHeight="18.75"/>
  <cols>
    <col min="1" max="1" width="8.140625" style="34" customWidth="1"/>
    <col min="2" max="3" width="66.42578125" style="179" customWidth="1"/>
    <col min="5" max="5" width="27.5703125" style="8" hidden="1" customWidth="1"/>
    <col min="6" max="6" width="26.85546875" style="41" hidden="1" customWidth="1"/>
    <col min="7" max="7" width="20.85546875" style="92" customWidth="1"/>
    <col min="8" max="8" width="17.7109375" style="92" customWidth="1"/>
    <col min="9" max="9" width="11.7109375" bestFit="1" customWidth="1"/>
  </cols>
  <sheetData>
    <row r="1" spans="1:8" s="3" customFormat="1" ht="21.75" thickBot="1">
      <c r="A1" s="90" t="s">
        <v>233</v>
      </c>
      <c r="B1" s="176" t="s">
        <v>4</v>
      </c>
      <c r="C1" s="176" t="s">
        <v>6</v>
      </c>
      <c r="E1" s="4"/>
      <c r="F1" s="40"/>
      <c r="G1" s="93"/>
      <c r="H1" s="93"/>
    </row>
    <row r="2" spans="1:8" ht="19.5" thickBot="1">
      <c r="A2" s="140">
        <v>1</v>
      </c>
      <c r="B2" s="177">
        <v>46035</v>
      </c>
      <c r="C2" s="177">
        <v>46037</v>
      </c>
    </row>
    <row r="3" spans="1:8" ht="19.5" thickBot="1">
      <c r="A3" s="142"/>
      <c r="B3" s="175" t="s">
        <v>488</v>
      </c>
      <c r="C3" s="175" t="s">
        <v>488</v>
      </c>
      <c r="E3" s="10"/>
      <c r="F3" s="42"/>
      <c r="H3" s="39"/>
    </row>
    <row r="4" spans="1:8" ht="19.5" thickBot="1">
      <c r="A4" s="140">
        <v>2</v>
      </c>
      <c r="B4" s="177">
        <v>46042</v>
      </c>
      <c r="C4" s="177">
        <v>46044</v>
      </c>
      <c r="E4" s="10"/>
      <c r="F4" s="42"/>
      <c r="H4" s="39"/>
    </row>
    <row r="5" spans="1:8" ht="19.5" thickBot="1">
      <c r="A5" s="142"/>
      <c r="B5" s="180" t="s">
        <v>270</v>
      </c>
      <c r="C5" s="180" t="s">
        <v>270</v>
      </c>
      <c r="E5" s="10"/>
      <c r="F5" s="42"/>
      <c r="G5" s="94"/>
      <c r="H5" s="39"/>
    </row>
    <row r="6" spans="1:8" ht="19.5" thickBot="1">
      <c r="A6" s="140">
        <v>3</v>
      </c>
      <c r="B6" s="177">
        <v>46049</v>
      </c>
      <c r="C6" s="177">
        <v>46051</v>
      </c>
      <c r="E6" s="10"/>
      <c r="F6" s="42"/>
    </row>
    <row r="7" spans="1:8" ht="25.5" thickBot="1">
      <c r="A7" s="142"/>
      <c r="B7" s="180" t="s">
        <v>489</v>
      </c>
      <c r="C7" s="180" t="s">
        <v>489</v>
      </c>
      <c r="E7" s="10" t="s">
        <v>32</v>
      </c>
      <c r="F7" s="42"/>
    </row>
    <row r="8" spans="1:8" ht="19.5" thickBot="1">
      <c r="A8" s="140">
        <v>4</v>
      </c>
      <c r="B8" s="177">
        <v>46056</v>
      </c>
      <c r="C8" s="177">
        <v>46058</v>
      </c>
      <c r="E8" s="10"/>
      <c r="F8" s="42"/>
    </row>
    <row r="9" spans="1:8" ht="19.5" thickBot="1">
      <c r="A9" s="142"/>
      <c r="B9" s="180" t="s">
        <v>501</v>
      </c>
      <c r="C9" s="180" t="s">
        <v>501</v>
      </c>
      <c r="E9" s="10"/>
      <c r="F9" s="42"/>
    </row>
    <row r="10" spans="1:8" ht="19.5" thickBot="1">
      <c r="A10" s="140">
        <v>5</v>
      </c>
      <c r="B10" s="177">
        <v>46063</v>
      </c>
      <c r="C10" s="177">
        <v>46065</v>
      </c>
      <c r="E10" s="10"/>
      <c r="F10" s="42"/>
    </row>
    <row r="11" spans="1:8" ht="19.5" thickBot="1">
      <c r="A11" s="142"/>
      <c r="B11" s="180" t="s">
        <v>500</v>
      </c>
      <c r="C11" s="180" t="s">
        <v>500</v>
      </c>
      <c r="E11" s="10"/>
      <c r="F11" s="42"/>
    </row>
    <row r="12" spans="1:8" ht="19.5" thickBot="1">
      <c r="A12" s="140">
        <v>6</v>
      </c>
      <c r="B12" s="177">
        <v>46070</v>
      </c>
      <c r="C12" s="177">
        <v>46072</v>
      </c>
      <c r="E12" s="10"/>
      <c r="F12" s="42"/>
    </row>
    <row r="13" spans="1:8" ht="19.5" thickBot="1">
      <c r="A13" s="142"/>
      <c r="B13" s="180" t="s">
        <v>499</v>
      </c>
      <c r="C13" s="180" t="s">
        <v>499</v>
      </c>
      <c r="E13" s="10"/>
      <c r="F13" s="42"/>
    </row>
    <row r="14" spans="1:8" ht="19.5" thickBot="1">
      <c r="A14" s="140">
        <v>7</v>
      </c>
      <c r="B14" s="177">
        <v>46077</v>
      </c>
      <c r="C14" s="177">
        <v>46079</v>
      </c>
      <c r="E14" s="10"/>
      <c r="F14" s="42"/>
    </row>
    <row r="15" spans="1:8" ht="19.5" thickBot="1">
      <c r="A15" s="142"/>
      <c r="B15" s="180" t="s">
        <v>498</v>
      </c>
      <c r="C15" s="180" t="s">
        <v>498</v>
      </c>
      <c r="E15" s="10"/>
      <c r="F15" s="42"/>
    </row>
    <row r="16" spans="1:8" ht="19.5" thickBot="1">
      <c r="A16" s="140">
        <v>8</v>
      </c>
      <c r="B16" s="177">
        <v>46084</v>
      </c>
      <c r="C16" s="177">
        <v>46086</v>
      </c>
      <c r="E16" s="10"/>
      <c r="F16" s="42"/>
    </row>
    <row r="17" spans="1:6" ht="19.5" thickBot="1">
      <c r="A17" s="142"/>
      <c r="B17" s="180" t="s">
        <v>497</v>
      </c>
      <c r="C17" s="180" t="s">
        <v>497</v>
      </c>
      <c r="E17" s="10"/>
      <c r="F17" s="42"/>
    </row>
    <row r="18" spans="1:6" ht="19.5" thickBot="1">
      <c r="A18" s="140">
        <v>9</v>
      </c>
      <c r="B18" s="177">
        <v>46091</v>
      </c>
      <c r="C18" s="177">
        <v>46093</v>
      </c>
      <c r="E18" s="10"/>
      <c r="F18" s="42"/>
    </row>
    <row r="19" spans="1:6" ht="19.5" thickBot="1">
      <c r="A19" s="142"/>
      <c r="B19" s="180" t="s">
        <v>496</v>
      </c>
      <c r="C19" s="180" t="s">
        <v>496</v>
      </c>
      <c r="E19" s="10" t="s">
        <v>93</v>
      </c>
      <c r="F19" s="42"/>
    </row>
    <row r="20" spans="1:6" ht="19.5" thickBot="1">
      <c r="A20" s="140">
        <v>10</v>
      </c>
      <c r="B20" s="177">
        <v>46098</v>
      </c>
      <c r="C20" s="177">
        <v>46100</v>
      </c>
      <c r="E20" s="10"/>
      <c r="F20" s="42"/>
    </row>
    <row r="21" spans="1:6" ht="19.5" thickBot="1">
      <c r="A21" s="142"/>
      <c r="B21" s="180" t="s">
        <v>495</v>
      </c>
      <c r="C21" s="180" t="s">
        <v>495</v>
      </c>
      <c r="E21" s="10"/>
      <c r="F21" s="42"/>
    </row>
    <row r="22" spans="1:6" ht="19.5" thickBot="1">
      <c r="A22" s="140">
        <v>11</v>
      </c>
      <c r="B22" s="177">
        <v>46105</v>
      </c>
      <c r="C22" s="177">
        <v>46107</v>
      </c>
      <c r="E22" s="10"/>
      <c r="F22" s="42"/>
    </row>
    <row r="23" spans="1:6" ht="19.5" thickBot="1">
      <c r="A23" s="142"/>
      <c r="B23" s="180" t="s">
        <v>490</v>
      </c>
      <c r="C23" s="180" t="s">
        <v>490</v>
      </c>
      <c r="E23" s="10"/>
      <c r="F23" s="42"/>
    </row>
    <row r="24" spans="1:6" ht="19.5" thickBot="1">
      <c r="A24" s="153"/>
      <c r="B24" s="178">
        <v>46112</v>
      </c>
      <c r="C24" s="178">
        <v>46114</v>
      </c>
    </row>
    <row r="25" spans="1:6" ht="47.25" thickBot="1">
      <c r="A25" s="154"/>
      <c r="B25" s="151" t="s">
        <v>344</v>
      </c>
      <c r="C25" s="151"/>
    </row>
    <row r="26" spans="1:6" ht="19.5" thickBot="1">
      <c r="A26" s="140">
        <v>12</v>
      </c>
      <c r="B26" s="177">
        <v>46119</v>
      </c>
      <c r="C26" s="177">
        <v>46121</v>
      </c>
    </row>
    <row r="27" spans="1:6" ht="19.5" thickBot="1">
      <c r="A27" s="142"/>
      <c r="B27" s="180" t="s">
        <v>492</v>
      </c>
      <c r="C27" s="180" t="s">
        <v>492</v>
      </c>
    </row>
    <row r="28" spans="1:6" ht="19.5" thickBot="1">
      <c r="A28" s="140">
        <v>13</v>
      </c>
      <c r="B28" s="177">
        <v>46126</v>
      </c>
      <c r="C28" s="177">
        <v>46128</v>
      </c>
    </row>
    <row r="29" spans="1:6" ht="19.5" thickBot="1">
      <c r="A29" s="142"/>
      <c r="B29" s="180" t="s">
        <v>493</v>
      </c>
      <c r="C29" s="180" t="s">
        <v>493</v>
      </c>
    </row>
    <row r="30" spans="1:6" ht="19.5" thickBot="1">
      <c r="A30" s="140">
        <v>14</v>
      </c>
      <c r="B30" s="177">
        <v>46133</v>
      </c>
      <c r="C30" s="177">
        <v>46135</v>
      </c>
    </row>
    <row r="31" spans="1:6" ht="19.5" thickBot="1">
      <c r="A31" s="142"/>
      <c r="B31" s="180" t="s">
        <v>494</v>
      </c>
      <c r="C31" s="180" t="s">
        <v>494</v>
      </c>
    </row>
    <row r="32" spans="1:6" ht="19.5" thickBot="1">
      <c r="A32" s="140">
        <v>15</v>
      </c>
      <c r="B32" s="177">
        <v>46140</v>
      </c>
      <c r="C32" s="177">
        <v>46142</v>
      </c>
    </row>
    <row r="33" spans="1:3" ht="19.5" thickBot="1">
      <c r="A33" s="142"/>
      <c r="B33" s="180" t="s">
        <v>491</v>
      </c>
      <c r="C33" s="180" t="s">
        <v>491</v>
      </c>
    </row>
    <row r="34" spans="1:3" ht="19.5" thickBot="1">
      <c r="A34" s="140">
        <v>16</v>
      </c>
      <c r="B34" s="177">
        <v>46147</v>
      </c>
      <c r="C34" s="177">
        <v>46149</v>
      </c>
    </row>
    <row r="35" spans="1:3" ht="19.5" thickBot="1">
      <c r="A35" s="142"/>
      <c r="B35" s="180" t="s">
        <v>490</v>
      </c>
      <c r="C35" s="180" t="s">
        <v>490</v>
      </c>
    </row>
    <row r="36" spans="1:3" ht="19.5" thickBot="1">
      <c r="A36" s="140">
        <v>17</v>
      </c>
      <c r="B36" s="177">
        <v>46154</v>
      </c>
      <c r="C36" s="177">
        <v>46156</v>
      </c>
    </row>
    <row r="37" spans="1:3">
      <c r="A37" s="141"/>
      <c r="B37" s="175" t="s">
        <v>209</v>
      </c>
      <c r="C37" s="175" t="s">
        <v>209</v>
      </c>
    </row>
    <row r="44" spans="1:3">
      <c r="C44" s="179">
        <v>119</v>
      </c>
    </row>
  </sheetData>
  <mergeCells count="19">
    <mergeCell ref="A24:A25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6:A27"/>
    <mergeCell ref="A28:A29"/>
    <mergeCell ref="A30:A31"/>
    <mergeCell ref="A32:A33"/>
    <mergeCell ref="A34:A35"/>
    <mergeCell ref="A36:A37"/>
    <mergeCell ref="B25:C25"/>
  </mergeCells>
  <pageMargins left="0.7" right="0.7" top="0.75" bottom="0.75" header="0.3" footer="0.3"/>
  <pageSetup scale="56" fitToHeight="0" orientation="landscape" horizontalDpi="360" verticalDpi="360" r:id="rId1"/>
  <headerFooter>
    <oddFooter>&amp;LRevision &amp;D&amp;C&amp;"-,Bold"&amp;F&amp;RPage &amp;P</oddFooter>
  </headerFooter>
  <rowBreaks count="3" manualBreakCount="3">
    <brk id="11" max="16383" man="1"/>
    <brk id="21" max="8" man="1"/>
    <brk id="33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97DE5-7A92-4D7A-A985-7758AF5881A5}">
  <sheetPr>
    <pageSetUpPr fitToPage="1"/>
  </sheetPr>
  <dimension ref="A1:R142"/>
  <sheetViews>
    <sheetView topLeftCell="A22" zoomScaleNormal="100" workbookViewId="0">
      <selection sqref="A1:I8"/>
    </sheetView>
  </sheetViews>
  <sheetFormatPr defaultColWidth="8.85546875" defaultRowHeight="18.75"/>
  <cols>
    <col min="1" max="1" width="8.140625" style="34" customWidth="1"/>
    <col min="2" max="2" width="17.7109375" customWidth="1"/>
    <col min="3" max="3" width="23.7109375" customWidth="1"/>
    <col min="4" max="4" width="23.85546875" style="8" customWidth="1"/>
    <col min="5" max="5" width="40.140625" style="8" customWidth="1"/>
    <col min="6" max="6" width="23.85546875" style="8" customWidth="1"/>
    <col min="7" max="7" width="40.140625" style="8" customWidth="1"/>
    <col min="8" max="8" width="32.140625" style="8" customWidth="1"/>
    <col min="9" max="9" width="20.7109375" style="8" customWidth="1"/>
    <col min="11" max="11" width="27.5703125" style="8" hidden="1" customWidth="1"/>
    <col min="12" max="12" width="26.85546875" style="41" hidden="1" customWidth="1"/>
    <col min="13" max="13" width="20.85546875" style="92" customWidth="1"/>
    <col min="14" max="14" width="17.7109375" style="92" customWidth="1"/>
    <col min="15" max="15" width="11.7109375" bestFit="1" customWidth="1"/>
  </cols>
  <sheetData>
    <row r="1" spans="1:15" s="3" customFormat="1" ht="48" thickBot="1">
      <c r="A1" s="90" t="s">
        <v>233</v>
      </c>
      <c r="B1" s="9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4"/>
      <c r="L1" s="40"/>
      <c r="M1" s="93"/>
      <c r="N1" s="93"/>
    </row>
    <row r="2" spans="1:15" ht="19.5" thickBot="1">
      <c r="A2" s="140">
        <v>1</v>
      </c>
      <c r="B2" s="5"/>
      <c r="C2" s="65">
        <v>46033</v>
      </c>
      <c r="D2" s="65">
        <f>C2+1</f>
        <v>46034</v>
      </c>
      <c r="E2" s="65">
        <f t="shared" ref="E2:I2" si="0">D2+1</f>
        <v>46035</v>
      </c>
      <c r="F2" s="65">
        <f t="shared" si="0"/>
        <v>46036</v>
      </c>
      <c r="G2" s="65">
        <f t="shared" si="0"/>
        <v>46037</v>
      </c>
      <c r="H2" s="65">
        <f t="shared" si="0"/>
        <v>46038</v>
      </c>
      <c r="I2" s="65">
        <f t="shared" si="0"/>
        <v>46039</v>
      </c>
    </row>
    <row r="3" spans="1:15" ht="15">
      <c r="A3" s="142"/>
      <c r="B3" s="96" t="s">
        <v>9</v>
      </c>
      <c r="C3" s="97"/>
      <c r="D3" s="97"/>
      <c r="E3" s="97"/>
      <c r="F3" s="97" t="s">
        <v>437</v>
      </c>
      <c r="G3" s="97"/>
      <c r="H3" s="97"/>
      <c r="I3" s="112"/>
      <c r="K3" s="10"/>
      <c r="L3" s="42"/>
      <c r="O3" s="11"/>
    </row>
    <row r="4" spans="1:15" ht="30">
      <c r="A4" s="142"/>
      <c r="B4" s="99" t="s">
        <v>234</v>
      </c>
      <c r="C4" s="100"/>
      <c r="D4" s="100"/>
      <c r="E4" s="100" t="s">
        <v>439</v>
      </c>
      <c r="F4" s="100"/>
      <c r="G4" s="100" t="s">
        <v>440</v>
      </c>
      <c r="H4" s="100"/>
      <c r="I4" s="114"/>
      <c r="K4" s="10"/>
      <c r="L4" s="42"/>
      <c r="M4" s="15" t="s">
        <v>346</v>
      </c>
      <c r="N4" s="39" t="s">
        <v>365</v>
      </c>
    </row>
    <row r="5" spans="1:15" ht="30">
      <c r="A5" s="142"/>
      <c r="B5" s="102" t="s">
        <v>236</v>
      </c>
      <c r="C5" s="103"/>
      <c r="D5" s="103"/>
      <c r="E5" s="103" t="s">
        <v>425</v>
      </c>
      <c r="F5" s="103"/>
      <c r="G5" s="103" t="s">
        <v>487</v>
      </c>
      <c r="H5" s="103"/>
      <c r="I5" s="116"/>
      <c r="K5" s="10"/>
      <c r="L5" s="42"/>
      <c r="M5" s="92" t="s">
        <v>345</v>
      </c>
      <c r="N5" s="39" t="s">
        <v>366</v>
      </c>
    </row>
    <row r="6" spans="1:15" ht="15">
      <c r="A6" s="142"/>
      <c r="B6" s="105" t="s">
        <v>15</v>
      </c>
      <c r="C6" s="106"/>
      <c r="D6" s="106"/>
      <c r="E6" s="106"/>
      <c r="F6" s="106" t="s">
        <v>438</v>
      </c>
      <c r="G6" s="106"/>
      <c r="H6" s="106"/>
      <c r="I6" s="117"/>
      <c r="K6" s="10"/>
      <c r="L6" s="42"/>
      <c r="N6" s="39"/>
    </row>
    <row r="7" spans="1:15" ht="60">
      <c r="A7" s="142"/>
      <c r="B7" s="105" t="s">
        <v>17</v>
      </c>
      <c r="C7" s="106"/>
      <c r="D7" s="106"/>
      <c r="E7" s="106"/>
      <c r="F7" s="106"/>
      <c r="G7" s="106"/>
      <c r="H7" s="106" t="s">
        <v>441</v>
      </c>
      <c r="I7" s="117"/>
      <c r="K7" s="10"/>
      <c r="L7" s="42"/>
      <c r="N7" s="39"/>
    </row>
    <row r="8" spans="1:15" ht="45.75" thickBot="1">
      <c r="A8" s="142"/>
      <c r="B8" s="105" t="s">
        <v>19</v>
      </c>
      <c r="C8" s="106" t="s">
        <v>436</v>
      </c>
      <c r="D8" s="106"/>
      <c r="E8" s="106"/>
      <c r="F8" s="106"/>
      <c r="G8" s="106"/>
      <c r="H8" s="106" t="s">
        <v>20</v>
      </c>
      <c r="I8" s="117"/>
      <c r="K8" s="10"/>
      <c r="L8" s="42"/>
      <c r="N8" s="39"/>
    </row>
    <row r="9" spans="1:15" ht="19.5" thickBot="1">
      <c r="A9" s="140">
        <v>2</v>
      </c>
      <c r="B9" s="6"/>
      <c r="C9" s="65">
        <f t="shared" ref="C9:I9" si="1">C2+7</f>
        <v>46040</v>
      </c>
      <c r="D9" s="65">
        <f t="shared" si="1"/>
        <v>46041</v>
      </c>
      <c r="E9" s="65">
        <f t="shared" si="1"/>
        <v>46042</v>
      </c>
      <c r="F9" s="65">
        <f t="shared" si="1"/>
        <v>46043</v>
      </c>
      <c r="G9" s="65">
        <f t="shared" si="1"/>
        <v>46044</v>
      </c>
      <c r="H9" s="65">
        <f t="shared" si="1"/>
        <v>46045</v>
      </c>
      <c r="I9" s="65">
        <f t="shared" si="1"/>
        <v>46046</v>
      </c>
      <c r="K9" s="10"/>
      <c r="L9" s="42"/>
      <c r="N9" s="39"/>
    </row>
    <row r="10" spans="1:15" ht="15">
      <c r="A10" s="142"/>
      <c r="B10" s="96" t="s">
        <v>9</v>
      </c>
      <c r="C10" s="111"/>
      <c r="D10" s="111" t="s">
        <v>21</v>
      </c>
      <c r="E10" s="111"/>
      <c r="F10" s="111" t="s">
        <v>22</v>
      </c>
      <c r="G10" s="111"/>
      <c r="H10" s="111"/>
      <c r="I10" s="112"/>
      <c r="K10" s="10"/>
      <c r="L10" s="42"/>
      <c r="N10" s="39"/>
    </row>
    <row r="11" spans="1:15" ht="30">
      <c r="A11" s="142"/>
      <c r="B11" s="99" t="s">
        <v>234</v>
      </c>
      <c r="C11" s="113"/>
      <c r="D11" s="113"/>
      <c r="E11" s="113" t="s">
        <v>442</v>
      </c>
      <c r="F11" s="113"/>
      <c r="G11" s="113" t="s">
        <v>443</v>
      </c>
      <c r="H11" s="113"/>
      <c r="I11" s="114"/>
      <c r="K11" s="10"/>
      <c r="L11" s="42"/>
      <c r="M11" s="92" t="s">
        <v>347</v>
      </c>
      <c r="N11" s="39" t="s">
        <v>367</v>
      </c>
    </row>
    <row r="12" spans="1:15" ht="42.75">
      <c r="A12" s="142"/>
      <c r="B12" s="102" t="s">
        <v>236</v>
      </c>
      <c r="C12" s="115"/>
      <c r="D12" s="115"/>
      <c r="E12" s="115" t="s">
        <v>398</v>
      </c>
      <c r="F12" s="115"/>
      <c r="G12" s="115" t="s">
        <v>399</v>
      </c>
      <c r="H12" s="115"/>
      <c r="I12" s="116"/>
      <c r="K12" s="10"/>
      <c r="L12" s="42"/>
      <c r="M12" s="94" t="s">
        <v>348</v>
      </c>
      <c r="N12" s="39" t="s">
        <v>368</v>
      </c>
    </row>
    <row r="13" spans="1:15" ht="15">
      <c r="A13" s="142"/>
      <c r="B13" s="105" t="s">
        <v>15</v>
      </c>
      <c r="C13" s="108"/>
      <c r="D13" s="108" t="s">
        <v>25</v>
      </c>
      <c r="E13" s="108"/>
      <c r="F13" s="108" t="s">
        <v>26</v>
      </c>
      <c r="G13" s="108"/>
      <c r="H13" s="108"/>
      <c r="I13" s="117"/>
      <c r="K13" s="10"/>
      <c r="L13" s="42"/>
      <c r="N13" s="39"/>
    </row>
    <row r="14" spans="1:15" ht="45">
      <c r="A14" s="142"/>
      <c r="B14" s="105" t="s">
        <v>17</v>
      </c>
      <c r="C14" s="108"/>
      <c r="D14" s="108"/>
      <c r="E14" s="108" t="s">
        <v>27</v>
      </c>
      <c r="F14" s="108"/>
      <c r="G14" s="108"/>
      <c r="H14" s="108" t="s">
        <v>444</v>
      </c>
      <c r="I14" s="117"/>
      <c r="K14" s="10"/>
      <c r="L14" s="42"/>
      <c r="N14" s="39"/>
    </row>
    <row r="15" spans="1:15" ht="45">
      <c r="A15" s="142"/>
      <c r="B15" s="105" t="s">
        <v>19</v>
      </c>
      <c r="C15" s="108" t="s">
        <v>44</v>
      </c>
      <c r="D15" s="108"/>
      <c r="E15" s="108"/>
      <c r="F15" s="108"/>
      <c r="G15" s="108"/>
      <c r="H15" s="108"/>
      <c r="I15" s="117" t="s">
        <v>400</v>
      </c>
      <c r="K15" s="10"/>
      <c r="L15" s="42"/>
    </row>
    <row r="16" spans="1:15" ht="16.5" thickBot="1">
      <c r="A16" s="143"/>
      <c r="B16" s="118"/>
      <c r="C16" s="110"/>
      <c r="D16" s="110"/>
      <c r="E16" s="110"/>
      <c r="F16" s="110"/>
      <c r="G16" s="110"/>
      <c r="H16" s="119" t="s">
        <v>241</v>
      </c>
      <c r="I16" s="120"/>
      <c r="K16" s="10"/>
      <c r="L16" s="42"/>
    </row>
    <row r="17" spans="1:14" ht="19.5" thickBot="1">
      <c r="A17" s="140">
        <v>3</v>
      </c>
      <c r="B17" s="67"/>
      <c r="C17" s="65">
        <f>C9+7</f>
        <v>46047</v>
      </c>
      <c r="D17" s="65">
        <f t="shared" ref="D17:I17" si="2">D9+7</f>
        <v>46048</v>
      </c>
      <c r="E17" s="65">
        <f t="shared" si="2"/>
        <v>46049</v>
      </c>
      <c r="F17" s="65">
        <f t="shared" si="2"/>
        <v>46050</v>
      </c>
      <c r="G17" s="65">
        <f t="shared" si="2"/>
        <v>46051</v>
      </c>
      <c r="H17" s="65">
        <f t="shared" si="2"/>
        <v>46052</v>
      </c>
      <c r="I17" s="65">
        <f t="shared" si="2"/>
        <v>46053</v>
      </c>
      <c r="K17" s="10"/>
      <c r="L17" s="42"/>
    </row>
    <row r="18" spans="1:14" ht="15">
      <c r="A18" s="142"/>
      <c r="B18" s="96" t="s">
        <v>9</v>
      </c>
      <c r="C18" s="111"/>
      <c r="D18" s="111" t="s">
        <v>28</v>
      </c>
      <c r="E18" s="111"/>
      <c r="F18" s="111" t="s">
        <v>29</v>
      </c>
      <c r="G18" s="111"/>
      <c r="H18" s="111"/>
      <c r="I18" s="112"/>
      <c r="K18" s="10"/>
      <c r="L18" s="42"/>
    </row>
    <row r="19" spans="1:14" ht="45">
      <c r="A19" s="142"/>
      <c r="B19" s="99" t="s">
        <v>234</v>
      </c>
      <c r="C19" s="113"/>
      <c r="D19" s="113"/>
      <c r="E19" s="121" t="s">
        <v>445</v>
      </c>
      <c r="F19" s="113"/>
      <c r="G19" s="113" t="s">
        <v>446</v>
      </c>
      <c r="H19" s="113"/>
      <c r="I19" s="114"/>
      <c r="K19" s="10"/>
      <c r="L19" s="42"/>
      <c r="M19" s="92" t="s">
        <v>349</v>
      </c>
      <c r="N19" s="92" t="s">
        <v>370</v>
      </c>
    </row>
    <row r="20" spans="1:14" ht="30">
      <c r="A20" s="142"/>
      <c r="B20" s="102" t="s">
        <v>236</v>
      </c>
      <c r="C20" s="115"/>
      <c r="D20" s="115"/>
      <c r="E20" s="115" t="s">
        <v>237</v>
      </c>
      <c r="F20" s="115"/>
      <c r="G20" s="115" t="s">
        <v>239</v>
      </c>
      <c r="H20" s="115"/>
      <c r="I20" s="116"/>
      <c r="K20" s="10" t="s">
        <v>32</v>
      </c>
      <c r="L20" s="42"/>
      <c r="M20" s="92" t="s">
        <v>350</v>
      </c>
      <c r="N20" s="92" t="s">
        <v>369</v>
      </c>
    </row>
    <row r="21" spans="1:14" ht="15">
      <c r="A21" s="142"/>
      <c r="B21" s="105" t="s">
        <v>15</v>
      </c>
      <c r="C21" s="108"/>
      <c r="D21" s="108" t="s">
        <v>33</v>
      </c>
      <c r="E21" s="108"/>
      <c r="F21" s="108" t="s">
        <v>34</v>
      </c>
      <c r="G21" s="108"/>
      <c r="H21" s="108"/>
      <c r="I21" s="117"/>
      <c r="K21" s="10"/>
      <c r="L21" s="42"/>
    </row>
    <row r="22" spans="1:14" ht="30.75" thickBot="1">
      <c r="A22" s="142"/>
      <c r="B22" s="118" t="s">
        <v>17</v>
      </c>
      <c r="C22" s="122"/>
      <c r="D22" s="122"/>
      <c r="E22" s="122" t="s">
        <v>35</v>
      </c>
      <c r="F22" s="122"/>
      <c r="G22" s="122"/>
      <c r="H22" s="122" t="s">
        <v>447</v>
      </c>
      <c r="I22" s="123"/>
      <c r="K22" s="10"/>
      <c r="L22" s="42"/>
    </row>
    <row r="23" spans="1:14" ht="19.5" thickBot="1">
      <c r="A23" s="140">
        <v>4</v>
      </c>
      <c r="B23" s="69"/>
      <c r="C23" s="65">
        <f>C17+7</f>
        <v>46054</v>
      </c>
      <c r="D23" s="65">
        <f t="shared" ref="D23:I23" si="3">D17+7</f>
        <v>46055</v>
      </c>
      <c r="E23" s="65">
        <f t="shared" si="3"/>
        <v>46056</v>
      </c>
      <c r="F23" s="65">
        <f t="shared" si="3"/>
        <v>46057</v>
      </c>
      <c r="G23" s="65">
        <f t="shared" si="3"/>
        <v>46058</v>
      </c>
      <c r="H23" s="65">
        <f t="shared" si="3"/>
        <v>46059</v>
      </c>
      <c r="I23" s="65">
        <f t="shared" si="3"/>
        <v>46060</v>
      </c>
      <c r="K23" s="10"/>
      <c r="L23" s="42"/>
    </row>
    <row r="24" spans="1:14" ht="15">
      <c r="A24" s="142"/>
      <c r="B24" s="96" t="s">
        <v>9</v>
      </c>
      <c r="C24" s="111"/>
      <c r="D24" s="111"/>
      <c r="E24" s="111"/>
      <c r="F24" s="111" t="s">
        <v>37</v>
      </c>
      <c r="G24" s="111"/>
      <c r="H24" s="111"/>
      <c r="I24" s="112"/>
      <c r="K24" s="10"/>
      <c r="L24" s="42"/>
    </row>
    <row r="25" spans="1:14" ht="30">
      <c r="A25" s="142"/>
      <c r="B25" s="99" t="s">
        <v>234</v>
      </c>
      <c r="C25" s="113"/>
      <c r="D25" s="113"/>
      <c r="E25" s="124" t="s">
        <v>448</v>
      </c>
      <c r="F25" s="113"/>
      <c r="G25" s="113" t="s">
        <v>449</v>
      </c>
      <c r="H25" s="113"/>
      <c r="I25" s="114"/>
      <c r="K25" s="10"/>
      <c r="L25" s="42"/>
      <c r="M25" s="92" t="s">
        <v>352</v>
      </c>
      <c r="N25" s="92" t="s">
        <v>371</v>
      </c>
    </row>
    <row r="26" spans="1:14" ht="30">
      <c r="A26" s="142"/>
      <c r="B26" s="102" t="s">
        <v>236</v>
      </c>
      <c r="C26" s="115"/>
      <c r="D26" s="115"/>
      <c r="E26" s="115" t="s">
        <v>401</v>
      </c>
      <c r="F26" s="115"/>
      <c r="G26" s="115" t="s">
        <v>402</v>
      </c>
      <c r="H26" s="115"/>
      <c r="I26" s="116"/>
      <c r="K26" s="10"/>
      <c r="L26" s="42"/>
      <c r="M26" s="92" t="s">
        <v>351</v>
      </c>
      <c r="N26" s="92" t="s">
        <v>372</v>
      </c>
    </row>
    <row r="27" spans="1:14" ht="15">
      <c r="A27" s="142"/>
      <c r="B27" s="105" t="s">
        <v>15</v>
      </c>
      <c r="C27" s="108"/>
      <c r="D27" s="108"/>
      <c r="E27" s="108"/>
      <c r="F27" s="108" t="s">
        <v>40</v>
      </c>
      <c r="G27" s="108"/>
      <c r="H27" s="108"/>
      <c r="I27" s="117"/>
      <c r="K27" s="10"/>
      <c r="L27" s="42"/>
    </row>
    <row r="28" spans="1:14" ht="30">
      <c r="A28" s="142"/>
      <c r="B28" s="105" t="s">
        <v>41</v>
      </c>
      <c r="C28" s="108"/>
      <c r="D28" s="108"/>
      <c r="E28" s="108" t="s">
        <v>42</v>
      </c>
      <c r="F28" s="108"/>
      <c r="G28" s="108"/>
      <c r="H28" s="108" t="s">
        <v>450</v>
      </c>
      <c r="I28" s="117" t="s">
        <v>403</v>
      </c>
      <c r="K28" s="10"/>
      <c r="L28" s="42"/>
    </row>
    <row r="29" spans="1:14" ht="15">
      <c r="A29" s="142"/>
      <c r="B29" s="105" t="s">
        <v>19</v>
      </c>
      <c r="C29" s="108" t="s">
        <v>404</v>
      </c>
      <c r="D29" s="108"/>
      <c r="E29" s="108"/>
      <c r="F29" s="108"/>
      <c r="G29" s="108"/>
      <c r="H29" s="108"/>
      <c r="I29" s="117"/>
      <c r="K29" s="10"/>
      <c r="L29" s="42"/>
    </row>
    <row r="30" spans="1:14" ht="48" thickBot="1">
      <c r="A30" s="143"/>
      <c r="B30" s="118"/>
      <c r="C30" s="125" t="s">
        <v>242</v>
      </c>
      <c r="D30" s="122"/>
      <c r="E30" s="122"/>
      <c r="F30" s="122"/>
      <c r="G30" s="122"/>
      <c r="H30" s="122"/>
      <c r="I30" s="123"/>
      <c r="L30" s="42"/>
    </row>
    <row r="31" spans="1:14" ht="19.5" thickBot="1">
      <c r="A31" s="140">
        <v>5</v>
      </c>
      <c r="B31" s="68"/>
      <c r="C31" s="65">
        <f>C23+7</f>
        <v>46061</v>
      </c>
      <c r="D31" s="65">
        <f>D23+7</f>
        <v>46062</v>
      </c>
      <c r="E31" s="65">
        <f t="shared" ref="E31:I31" si="4">E23+7</f>
        <v>46063</v>
      </c>
      <c r="F31" s="65">
        <f t="shared" si="4"/>
        <v>46064</v>
      </c>
      <c r="G31" s="65">
        <f t="shared" si="4"/>
        <v>46065</v>
      </c>
      <c r="H31" s="65">
        <f t="shared" si="4"/>
        <v>46066</v>
      </c>
      <c r="I31" s="65">
        <f t="shared" si="4"/>
        <v>46067</v>
      </c>
      <c r="K31" s="10"/>
      <c r="L31" s="42"/>
    </row>
    <row r="32" spans="1:14" ht="15">
      <c r="A32" s="142"/>
      <c r="B32" s="96" t="s">
        <v>9</v>
      </c>
      <c r="C32" s="111"/>
      <c r="D32" s="111" t="s">
        <v>46</v>
      </c>
      <c r="E32" s="111"/>
      <c r="F32" s="111" t="s">
        <v>47</v>
      </c>
      <c r="G32" s="111"/>
      <c r="H32" s="111"/>
      <c r="I32" s="112"/>
      <c r="K32" s="10"/>
      <c r="L32" s="42"/>
      <c r="M32" s="95"/>
    </row>
    <row r="33" spans="1:16" ht="15">
      <c r="A33" s="142"/>
      <c r="B33" s="99" t="s">
        <v>234</v>
      </c>
      <c r="C33" s="113"/>
      <c r="D33" s="113"/>
      <c r="E33" s="113" t="s">
        <v>451</v>
      </c>
      <c r="F33" s="113"/>
      <c r="G33" s="113" t="s">
        <v>452</v>
      </c>
      <c r="H33" s="113"/>
      <c r="I33" s="114"/>
      <c r="K33" s="10"/>
      <c r="L33" s="42"/>
      <c r="M33" s="92" t="s">
        <v>354</v>
      </c>
      <c r="N33" s="92" t="s">
        <v>373</v>
      </c>
    </row>
    <row r="34" spans="1:16" ht="30">
      <c r="A34" s="142"/>
      <c r="B34" s="102" t="s">
        <v>236</v>
      </c>
      <c r="C34" s="115"/>
      <c r="D34" s="115"/>
      <c r="E34" s="115" t="s">
        <v>405</v>
      </c>
      <c r="F34" s="115"/>
      <c r="G34" s="115" t="s">
        <v>406</v>
      </c>
      <c r="H34" s="115"/>
      <c r="I34" s="116"/>
      <c r="K34" s="10"/>
      <c r="L34" s="42"/>
      <c r="M34" s="92" t="s">
        <v>353</v>
      </c>
      <c r="N34" s="92" t="s">
        <v>353</v>
      </c>
    </row>
    <row r="35" spans="1:16" ht="15">
      <c r="A35" s="142"/>
      <c r="B35" s="105" t="s">
        <v>15</v>
      </c>
      <c r="C35" s="108"/>
      <c r="D35" s="108" t="s">
        <v>51</v>
      </c>
      <c r="E35" s="108"/>
      <c r="F35" s="108" t="s">
        <v>52</v>
      </c>
      <c r="G35" s="108"/>
      <c r="H35" s="108"/>
      <c r="I35" s="117"/>
      <c r="K35" s="10"/>
      <c r="L35" s="42"/>
    </row>
    <row r="36" spans="1:16" ht="30">
      <c r="A36" s="142"/>
      <c r="B36" s="105" t="s">
        <v>17</v>
      </c>
      <c r="C36" s="108"/>
      <c r="D36" s="108"/>
      <c r="E36" s="108" t="s">
        <v>53</v>
      </c>
      <c r="F36" s="126"/>
      <c r="G36" s="108"/>
      <c r="H36" s="108" t="s">
        <v>453</v>
      </c>
      <c r="I36" s="117" t="s">
        <v>55</v>
      </c>
      <c r="K36" s="10"/>
      <c r="L36" s="42"/>
    </row>
    <row r="37" spans="1:16" ht="15.75" thickBot="1">
      <c r="A37" s="142"/>
      <c r="B37" s="118" t="s">
        <v>56</v>
      </c>
      <c r="C37" s="122"/>
      <c r="D37" s="122"/>
      <c r="E37" s="122"/>
      <c r="F37" s="122"/>
      <c r="G37" s="122"/>
      <c r="H37" s="122"/>
      <c r="I37" s="123"/>
      <c r="K37" s="10"/>
      <c r="L37" s="42"/>
    </row>
    <row r="38" spans="1:16" ht="19.5" thickBot="1">
      <c r="A38" s="140">
        <v>6</v>
      </c>
      <c r="B38" s="68"/>
      <c r="C38" s="65">
        <f t="shared" ref="C38:I38" si="5">C31+7</f>
        <v>46068</v>
      </c>
      <c r="D38" s="65">
        <f t="shared" si="5"/>
        <v>46069</v>
      </c>
      <c r="E38" s="65">
        <f t="shared" si="5"/>
        <v>46070</v>
      </c>
      <c r="F38" s="65">
        <f t="shared" si="5"/>
        <v>46071</v>
      </c>
      <c r="G38" s="65">
        <f t="shared" si="5"/>
        <v>46072</v>
      </c>
      <c r="H38" s="65">
        <f t="shared" si="5"/>
        <v>46073</v>
      </c>
      <c r="I38" s="65">
        <f t="shared" si="5"/>
        <v>46074</v>
      </c>
      <c r="K38" s="10"/>
      <c r="L38" s="42"/>
    </row>
    <row r="39" spans="1:16" ht="15">
      <c r="A39" s="142"/>
      <c r="B39" s="96" t="s">
        <v>9</v>
      </c>
      <c r="C39" s="111"/>
      <c r="D39" s="111" t="s">
        <v>57</v>
      </c>
      <c r="E39" s="111"/>
      <c r="F39" s="111" t="s">
        <v>58</v>
      </c>
      <c r="G39" s="111"/>
      <c r="H39" s="111"/>
      <c r="I39" s="112"/>
      <c r="K39" s="10"/>
      <c r="L39" s="42"/>
    </row>
    <row r="40" spans="1:16" ht="30">
      <c r="A40" s="142"/>
      <c r="B40" s="99" t="s">
        <v>234</v>
      </c>
      <c r="C40" s="113"/>
      <c r="D40" s="113"/>
      <c r="E40" s="113" t="s">
        <v>454</v>
      </c>
      <c r="F40" s="113"/>
      <c r="G40" s="113" t="s">
        <v>455</v>
      </c>
      <c r="H40" s="113"/>
      <c r="I40" s="114"/>
      <c r="K40" s="10"/>
      <c r="L40" s="42"/>
      <c r="M40" s="92" t="s">
        <v>355</v>
      </c>
      <c r="N40" s="92" t="s">
        <v>374</v>
      </c>
      <c r="P40" s="29"/>
    </row>
    <row r="41" spans="1:16" ht="30">
      <c r="A41" s="142"/>
      <c r="B41" s="102" t="s">
        <v>236</v>
      </c>
      <c r="C41" s="115"/>
      <c r="D41" s="115"/>
      <c r="E41" s="115" t="s">
        <v>407</v>
      </c>
      <c r="F41" s="115"/>
      <c r="G41" s="115" t="s">
        <v>408</v>
      </c>
      <c r="H41" s="115"/>
      <c r="I41" s="116"/>
      <c r="K41" s="10"/>
      <c r="L41" s="42"/>
      <c r="M41" s="92" t="s">
        <v>356</v>
      </c>
      <c r="N41" s="92" t="s">
        <v>356</v>
      </c>
    </row>
    <row r="42" spans="1:16" ht="30">
      <c r="A42" s="142"/>
      <c r="B42" s="105" t="s">
        <v>15</v>
      </c>
      <c r="C42" s="108"/>
      <c r="D42" s="108" t="s">
        <v>61</v>
      </c>
      <c r="E42" s="108"/>
      <c r="F42" s="108" t="s">
        <v>62</v>
      </c>
      <c r="G42" s="108"/>
      <c r="H42" s="108"/>
      <c r="I42" s="117"/>
      <c r="K42" s="10"/>
      <c r="L42" s="42"/>
    </row>
    <row r="43" spans="1:16" ht="30">
      <c r="A43" s="142"/>
      <c r="B43" s="105" t="s">
        <v>17</v>
      </c>
      <c r="C43" s="108"/>
      <c r="D43" s="108"/>
      <c r="E43" s="108" t="s">
        <v>63</v>
      </c>
      <c r="F43" s="108"/>
      <c r="G43" s="108"/>
      <c r="H43" s="108" t="s">
        <v>456</v>
      </c>
      <c r="I43" s="117" t="s">
        <v>65</v>
      </c>
      <c r="K43" s="10"/>
      <c r="L43" s="42"/>
    </row>
    <row r="44" spans="1:16" ht="30">
      <c r="A44" s="142"/>
      <c r="B44" s="105" t="s">
        <v>19</v>
      </c>
      <c r="C44" s="108" t="s">
        <v>66</v>
      </c>
      <c r="D44" s="108"/>
      <c r="E44" s="108"/>
      <c r="F44" s="108"/>
      <c r="G44" s="108"/>
      <c r="H44" s="108"/>
      <c r="I44" s="117" t="s">
        <v>67</v>
      </c>
      <c r="K44" s="10"/>
      <c r="L44" s="42"/>
    </row>
    <row r="45" spans="1:16" ht="15.75" thickBot="1">
      <c r="A45" s="143"/>
      <c r="B45" s="118"/>
      <c r="C45" s="122"/>
      <c r="D45" s="122"/>
      <c r="E45" s="122"/>
      <c r="F45" s="122"/>
      <c r="G45" s="122"/>
      <c r="H45" s="122"/>
      <c r="I45" s="123"/>
      <c r="K45" s="10"/>
      <c r="L45" s="42"/>
    </row>
    <row r="46" spans="1:16" ht="19.5" thickBot="1">
      <c r="A46" s="140">
        <v>7</v>
      </c>
      <c r="B46" s="68"/>
      <c r="C46" s="65">
        <f>C38+7</f>
        <v>46075</v>
      </c>
      <c r="D46" s="65">
        <f>D38+7</f>
        <v>46076</v>
      </c>
      <c r="E46" s="65">
        <f t="shared" ref="E46:I46" si="6">E38+7</f>
        <v>46077</v>
      </c>
      <c r="F46" s="65">
        <f t="shared" si="6"/>
        <v>46078</v>
      </c>
      <c r="G46" s="65">
        <f t="shared" si="6"/>
        <v>46079</v>
      </c>
      <c r="H46" s="65">
        <f t="shared" si="6"/>
        <v>46080</v>
      </c>
      <c r="I46" s="65">
        <f t="shared" si="6"/>
        <v>46081</v>
      </c>
      <c r="K46" s="10"/>
      <c r="L46" s="42"/>
    </row>
    <row r="47" spans="1:16" ht="15">
      <c r="A47" s="142"/>
      <c r="B47" s="96" t="s">
        <v>9</v>
      </c>
      <c r="C47" s="111"/>
      <c r="D47" s="111" t="s">
        <v>68</v>
      </c>
      <c r="E47" s="111"/>
      <c r="F47" s="111" t="s">
        <v>69</v>
      </c>
      <c r="G47" s="111"/>
      <c r="H47" s="111"/>
      <c r="I47" s="112"/>
      <c r="K47" s="10"/>
      <c r="L47" s="42"/>
    </row>
    <row r="48" spans="1:16" ht="30">
      <c r="A48" s="142"/>
      <c r="B48" s="99" t="s">
        <v>234</v>
      </c>
      <c r="C48" s="113"/>
      <c r="D48" s="113"/>
      <c r="E48" s="113" t="s">
        <v>457</v>
      </c>
      <c r="F48" s="113"/>
      <c r="G48" s="113" t="s">
        <v>458</v>
      </c>
      <c r="H48" s="113"/>
      <c r="I48" s="114"/>
      <c r="K48" s="10"/>
      <c r="L48" s="42"/>
      <c r="M48" s="92" t="s">
        <v>397</v>
      </c>
      <c r="N48" s="92" t="s">
        <v>376</v>
      </c>
    </row>
    <row r="49" spans="1:18" ht="30">
      <c r="A49" s="142"/>
      <c r="B49" s="102" t="s">
        <v>236</v>
      </c>
      <c r="C49" s="115"/>
      <c r="D49" s="115"/>
      <c r="E49" s="115" t="s">
        <v>409</v>
      </c>
      <c r="F49" s="115"/>
      <c r="G49" s="115" t="s">
        <v>410</v>
      </c>
      <c r="H49" s="115"/>
      <c r="I49" s="116"/>
      <c r="K49" s="10"/>
      <c r="L49" s="42"/>
      <c r="M49" s="92" t="s">
        <v>357</v>
      </c>
      <c r="N49" s="92" t="s">
        <v>375</v>
      </c>
    </row>
    <row r="50" spans="1:18" ht="15">
      <c r="A50" s="142"/>
      <c r="B50" s="105" t="s">
        <v>15</v>
      </c>
      <c r="C50" s="108"/>
      <c r="D50" s="108" t="s">
        <v>72</v>
      </c>
      <c r="E50" s="108"/>
      <c r="F50" s="108" t="s">
        <v>73</v>
      </c>
      <c r="G50" s="108"/>
      <c r="H50" s="108"/>
      <c r="I50" s="117"/>
      <c r="K50" s="10"/>
      <c r="L50" s="42"/>
      <c r="P50" s="8"/>
      <c r="Q50" s="15"/>
      <c r="R50" s="15"/>
    </row>
    <row r="51" spans="1:18" ht="30">
      <c r="A51" s="142"/>
      <c r="B51" s="105" t="s">
        <v>17</v>
      </c>
      <c r="C51" s="108"/>
      <c r="D51" s="108"/>
      <c r="E51" s="108" t="s">
        <v>74</v>
      </c>
      <c r="F51" s="108"/>
      <c r="G51" s="108"/>
      <c r="H51" s="108" t="s">
        <v>459</v>
      </c>
      <c r="I51" s="117" t="s">
        <v>76</v>
      </c>
      <c r="K51" s="10"/>
      <c r="L51" s="42"/>
    </row>
    <row r="52" spans="1:18" ht="30.75" thickBot="1">
      <c r="A52" s="142"/>
      <c r="B52" s="118" t="s">
        <v>19</v>
      </c>
      <c r="C52" s="122" t="s">
        <v>77</v>
      </c>
      <c r="D52" s="122"/>
      <c r="E52" s="122"/>
      <c r="F52" s="122"/>
      <c r="G52" s="122"/>
      <c r="H52" s="122"/>
      <c r="I52" s="123" t="s">
        <v>78</v>
      </c>
      <c r="K52" s="10"/>
      <c r="L52" s="42"/>
    </row>
    <row r="53" spans="1:18" ht="19.5" thickBot="1">
      <c r="A53" s="140">
        <v>8</v>
      </c>
      <c r="B53" s="68"/>
      <c r="C53" s="65">
        <f t="shared" ref="C53:I53" si="7">C46+7</f>
        <v>46082</v>
      </c>
      <c r="D53" s="65">
        <f t="shared" si="7"/>
        <v>46083</v>
      </c>
      <c r="E53" s="65">
        <f t="shared" si="7"/>
        <v>46084</v>
      </c>
      <c r="F53" s="65">
        <f t="shared" si="7"/>
        <v>46085</v>
      </c>
      <c r="G53" s="65">
        <f t="shared" si="7"/>
        <v>46086</v>
      </c>
      <c r="H53" s="65">
        <f t="shared" si="7"/>
        <v>46087</v>
      </c>
      <c r="I53" s="65">
        <f t="shared" si="7"/>
        <v>46088</v>
      </c>
      <c r="K53" s="10"/>
      <c r="L53" s="42"/>
    </row>
    <row r="54" spans="1:18" ht="15">
      <c r="A54" s="142"/>
      <c r="B54" s="96" t="s">
        <v>9</v>
      </c>
      <c r="C54" s="111"/>
      <c r="D54" s="111" t="s">
        <v>79</v>
      </c>
      <c r="E54" s="111"/>
      <c r="F54" s="111" t="s">
        <v>80</v>
      </c>
      <c r="G54" s="111"/>
      <c r="H54" s="111"/>
      <c r="I54" s="112"/>
      <c r="K54" s="10"/>
      <c r="L54" s="42"/>
    </row>
    <row r="55" spans="1:18" ht="30">
      <c r="A55" s="142"/>
      <c r="B55" s="99" t="s">
        <v>234</v>
      </c>
      <c r="C55" s="113"/>
      <c r="D55" s="113"/>
      <c r="E55" s="113" t="s">
        <v>460</v>
      </c>
      <c r="F55" s="113"/>
      <c r="G55" s="113" t="s">
        <v>461</v>
      </c>
      <c r="H55" s="113"/>
      <c r="I55" s="114"/>
      <c r="K55" s="10"/>
      <c r="L55" s="42"/>
      <c r="M55" s="92" t="s">
        <v>396</v>
      </c>
      <c r="N55" s="92" t="s">
        <v>377</v>
      </c>
    </row>
    <row r="56" spans="1:18" ht="30">
      <c r="A56" s="142"/>
      <c r="B56" s="102" t="s">
        <v>236</v>
      </c>
      <c r="C56" s="115"/>
      <c r="D56" s="115"/>
      <c r="E56" s="115" t="s">
        <v>411</v>
      </c>
      <c r="F56" s="115"/>
      <c r="G56" s="115" t="s">
        <v>412</v>
      </c>
      <c r="H56" s="115"/>
      <c r="I56" s="116"/>
      <c r="K56" s="10"/>
      <c r="L56" s="42"/>
      <c r="M56" s="92" t="s">
        <v>358</v>
      </c>
      <c r="N56" s="92" t="s">
        <v>357</v>
      </c>
    </row>
    <row r="57" spans="1:18" ht="15">
      <c r="A57" s="142"/>
      <c r="B57" s="105" t="s">
        <v>15</v>
      </c>
      <c r="C57" s="108"/>
      <c r="D57" s="108" t="s">
        <v>83</v>
      </c>
      <c r="E57" s="108"/>
      <c r="F57" s="108" t="s">
        <v>84</v>
      </c>
      <c r="G57" s="108"/>
      <c r="H57" s="108"/>
      <c r="I57" s="117"/>
      <c r="K57" s="10"/>
      <c r="L57" s="42"/>
    </row>
    <row r="58" spans="1:18" ht="30">
      <c r="A58" s="142"/>
      <c r="B58" s="105" t="s">
        <v>17</v>
      </c>
      <c r="C58" s="108"/>
      <c r="D58" s="108"/>
      <c r="E58" s="108" t="s">
        <v>85</v>
      </c>
      <c r="F58" s="108"/>
      <c r="G58" s="108"/>
      <c r="H58" s="108" t="s">
        <v>462</v>
      </c>
      <c r="I58" s="117" t="s">
        <v>87</v>
      </c>
      <c r="K58" s="10"/>
      <c r="L58" s="42"/>
    </row>
    <row r="59" spans="1:18" ht="30.75" thickBot="1">
      <c r="A59" s="142"/>
      <c r="B59" s="118" t="s">
        <v>19</v>
      </c>
      <c r="C59" s="122" t="s">
        <v>88</v>
      </c>
      <c r="D59" s="122"/>
      <c r="E59" s="122"/>
      <c r="F59" s="122"/>
      <c r="G59" s="122"/>
      <c r="H59" s="122"/>
      <c r="I59" s="123" t="s">
        <v>89</v>
      </c>
      <c r="K59" s="10"/>
      <c r="L59" s="42"/>
    </row>
    <row r="60" spans="1:18" ht="19.5" thickBot="1">
      <c r="A60" s="140">
        <v>9</v>
      </c>
      <c r="B60" s="68"/>
      <c r="C60" s="65">
        <f t="shared" ref="C60:I60" si="8">C53+7</f>
        <v>46089</v>
      </c>
      <c r="D60" s="65">
        <f t="shared" si="8"/>
        <v>46090</v>
      </c>
      <c r="E60" s="65">
        <f t="shared" si="8"/>
        <v>46091</v>
      </c>
      <c r="F60" s="65">
        <f t="shared" si="8"/>
        <v>46092</v>
      </c>
      <c r="G60" s="65">
        <f t="shared" si="8"/>
        <v>46093</v>
      </c>
      <c r="H60" s="65">
        <f t="shared" si="8"/>
        <v>46094</v>
      </c>
      <c r="I60" s="65">
        <f t="shared" si="8"/>
        <v>46095</v>
      </c>
      <c r="K60" s="10"/>
      <c r="L60" s="42"/>
    </row>
    <row r="61" spans="1:18" ht="15">
      <c r="A61" s="142"/>
      <c r="B61" s="96" t="s">
        <v>9</v>
      </c>
      <c r="C61" s="111"/>
      <c r="D61" s="111"/>
      <c r="E61" s="111"/>
      <c r="F61" s="111" t="s">
        <v>90</v>
      </c>
      <c r="G61" s="111"/>
      <c r="H61" s="111"/>
      <c r="I61" s="112"/>
      <c r="K61" s="10"/>
      <c r="L61" s="42"/>
    </row>
    <row r="62" spans="1:18" ht="15">
      <c r="A62" s="142"/>
      <c r="B62" s="99" t="s">
        <v>234</v>
      </c>
      <c r="C62" s="113"/>
      <c r="D62" s="113"/>
      <c r="E62" s="124" t="s">
        <v>463</v>
      </c>
      <c r="F62" s="113"/>
      <c r="G62" s="113" t="s">
        <v>464</v>
      </c>
      <c r="H62" s="113"/>
      <c r="I62" s="114"/>
      <c r="K62" s="10"/>
      <c r="L62" s="42"/>
      <c r="M62" s="92" t="s">
        <v>395</v>
      </c>
      <c r="N62" s="92" t="s">
        <v>355</v>
      </c>
    </row>
    <row r="63" spans="1:18" ht="30">
      <c r="A63" s="142"/>
      <c r="B63" s="102" t="s">
        <v>236</v>
      </c>
      <c r="C63" s="115"/>
      <c r="D63" s="115"/>
      <c r="E63" s="115" t="s">
        <v>413</v>
      </c>
      <c r="F63" s="115"/>
      <c r="G63" s="115" t="s">
        <v>414</v>
      </c>
      <c r="H63" s="115"/>
      <c r="I63" s="116"/>
      <c r="K63" s="10" t="s">
        <v>93</v>
      </c>
      <c r="L63" s="42"/>
      <c r="M63" s="92" t="s">
        <v>359</v>
      </c>
      <c r="N63" s="92" t="s">
        <v>358</v>
      </c>
    </row>
    <row r="64" spans="1:18" ht="15">
      <c r="A64" s="142"/>
      <c r="B64" s="105" t="s">
        <v>15</v>
      </c>
      <c r="C64" s="126"/>
      <c r="D64" s="126" t="s">
        <v>94</v>
      </c>
      <c r="E64" s="108"/>
      <c r="F64" s="108" t="s">
        <v>95</v>
      </c>
      <c r="G64" s="108"/>
      <c r="H64" s="108"/>
      <c r="I64" s="117"/>
      <c r="K64" s="10"/>
      <c r="L64" s="42"/>
    </row>
    <row r="65" spans="1:14" ht="30">
      <c r="A65" s="142"/>
      <c r="B65" s="105" t="s">
        <v>17</v>
      </c>
      <c r="C65" s="108"/>
      <c r="D65" s="108"/>
      <c r="E65" s="108" t="s">
        <v>96</v>
      </c>
      <c r="F65" s="108"/>
      <c r="G65" s="108"/>
      <c r="H65" s="108" t="s">
        <v>465</v>
      </c>
      <c r="I65" s="117" t="s">
        <v>98</v>
      </c>
      <c r="K65" s="10"/>
      <c r="L65" s="42"/>
    </row>
    <row r="66" spans="1:14" ht="30">
      <c r="A66" s="142"/>
      <c r="B66" s="105" t="s">
        <v>19</v>
      </c>
      <c r="C66" s="108" t="s">
        <v>99</v>
      </c>
      <c r="D66" s="108"/>
      <c r="E66" s="108"/>
      <c r="F66" s="108"/>
      <c r="G66" s="108"/>
      <c r="H66" s="108"/>
      <c r="I66" s="117" t="s">
        <v>100</v>
      </c>
      <c r="K66" s="10"/>
      <c r="L66" s="42"/>
    </row>
    <row r="67" spans="1:14" ht="15.75" thickBot="1">
      <c r="A67" s="143"/>
      <c r="B67" s="118"/>
      <c r="C67" s="122"/>
      <c r="D67" s="122"/>
      <c r="E67" s="122"/>
      <c r="F67" s="122"/>
      <c r="G67" s="122"/>
      <c r="H67" s="122"/>
      <c r="I67" s="123"/>
      <c r="K67" s="10"/>
      <c r="L67" s="42"/>
    </row>
    <row r="68" spans="1:14" ht="19.5" thickBot="1">
      <c r="A68" s="140">
        <v>10</v>
      </c>
      <c r="B68" s="68"/>
      <c r="C68" s="65">
        <f>C60+7</f>
        <v>46096</v>
      </c>
      <c r="D68" s="65">
        <f>D60+7</f>
        <v>46097</v>
      </c>
      <c r="E68" s="65">
        <f t="shared" ref="E68:I68" si="9">E60+7</f>
        <v>46098</v>
      </c>
      <c r="F68" s="65">
        <f t="shared" si="9"/>
        <v>46099</v>
      </c>
      <c r="G68" s="65">
        <f t="shared" si="9"/>
        <v>46100</v>
      </c>
      <c r="H68" s="65">
        <f t="shared" si="9"/>
        <v>46101</v>
      </c>
      <c r="I68" s="65">
        <f t="shared" si="9"/>
        <v>46102</v>
      </c>
      <c r="K68" s="10"/>
      <c r="L68" s="42"/>
    </row>
    <row r="69" spans="1:14" ht="15">
      <c r="A69" s="142"/>
      <c r="B69" s="96" t="s">
        <v>9</v>
      </c>
      <c r="C69" s="111"/>
      <c r="D69" s="111" t="s">
        <v>101</v>
      </c>
      <c r="E69" s="111"/>
      <c r="F69" s="111" t="s">
        <v>102</v>
      </c>
      <c r="G69" s="111"/>
      <c r="H69" s="111"/>
      <c r="I69" s="112"/>
      <c r="K69" s="10"/>
      <c r="L69" s="42"/>
    </row>
    <row r="70" spans="1:14" ht="30">
      <c r="A70" s="142"/>
      <c r="B70" s="99" t="s">
        <v>234</v>
      </c>
      <c r="C70" s="113"/>
      <c r="D70" s="113"/>
      <c r="E70" s="113" t="s">
        <v>466</v>
      </c>
      <c r="F70" s="113"/>
      <c r="G70" s="113" t="s">
        <v>467</v>
      </c>
      <c r="H70" s="113"/>
      <c r="I70" s="114"/>
      <c r="K70" s="10"/>
      <c r="L70" s="42"/>
      <c r="M70" s="92" t="s">
        <v>394</v>
      </c>
      <c r="N70" s="92" t="s">
        <v>378</v>
      </c>
    </row>
    <row r="71" spans="1:14" ht="45">
      <c r="A71" s="142"/>
      <c r="B71" s="102" t="s">
        <v>235</v>
      </c>
      <c r="C71" s="115"/>
      <c r="D71" s="115"/>
      <c r="E71" s="115" t="s">
        <v>415</v>
      </c>
      <c r="F71" s="115"/>
      <c r="G71" s="115" t="s">
        <v>416</v>
      </c>
      <c r="H71" s="115"/>
      <c r="I71" s="116"/>
      <c r="K71" s="10"/>
      <c r="L71" s="42"/>
      <c r="M71" s="92" t="s">
        <v>360</v>
      </c>
      <c r="N71" s="92" t="s">
        <v>359</v>
      </c>
    </row>
    <row r="72" spans="1:14" ht="15">
      <c r="A72" s="142"/>
      <c r="B72" s="105" t="s">
        <v>15</v>
      </c>
      <c r="C72" s="108"/>
      <c r="D72" s="108" t="s">
        <v>106</v>
      </c>
      <c r="E72" s="108"/>
      <c r="F72" s="108" t="s">
        <v>107</v>
      </c>
      <c r="G72" s="108"/>
      <c r="H72" s="108"/>
      <c r="I72" s="117"/>
      <c r="K72" s="10"/>
      <c r="L72" s="42"/>
    </row>
    <row r="73" spans="1:14" ht="45">
      <c r="A73" s="142"/>
      <c r="B73" s="105" t="s">
        <v>17</v>
      </c>
      <c r="C73" s="108"/>
      <c r="D73" s="108"/>
      <c r="E73" s="108" t="s">
        <v>108</v>
      </c>
      <c r="F73" s="108"/>
      <c r="G73" s="108"/>
      <c r="H73" s="108" t="s">
        <v>468</v>
      </c>
      <c r="I73" s="117" t="s">
        <v>110</v>
      </c>
      <c r="K73" s="10"/>
      <c r="L73" s="42"/>
    </row>
    <row r="74" spans="1:14" ht="30.75" thickBot="1">
      <c r="A74" s="142"/>
      <c r="B74" s="118" t="s">
        <v>19</v>
      </c>
      <c r="C74" s="122" t="s">
        <v>428</v>
      </c>
      <c r="D74" s="122"/>
      <c r="E74" s="122"/>
      <c r="F74" s="122"/>
      <c r="G74" s="122"/>
      <c r="H74" s="122"/>
      <c r="I74" s="123" t="s">
        <v>112</v>
      </c>
      <c r="K74" s="10"/>
      <c r="L74" s="42"/>
    </row>
    <row r="75" spans="1:14" ht="15.75" thickBot="1">
      <c r="A75" s="143"/>
      <c r="B75" s="127"/>
      <c r="C75" s="128"/>
      <c r="D75" s="128"/>
      <c r="E75" s="128"/>
      <c r="F75" s="128"/>
      <c r="G75" s="128"/>
      <c r="H75" s="128"/>
      <c r="I75" s="128"/>
      <c r="K75" s="10"/>
      <c r="L75" s="42"/>
    </row>
    <row r="76" spans="1:14" ht="19.5" thickBot="1">
      <c r="A76" s="140">
        <v>11</v>
      </c>
      <c r="B76" s="69"/>
      <c r="C76" s="65">
        <f>C68+7</f>
        <v>46103</v>
      </c>
      <c r="D76" s="65">
        <f>D68+7</f>
        <v>46104</v>
      </c>
      <c r="E76" s="65">
        <f t="shared" ref="E76:I76" si="10">E68+7</f>
        <v>46105</v>
      </c>
      <c r="F76" s="65">
        <f t="shared" si="10"/>
        <v>46106</v>
      </c>
      <c r="G76" s="65">
        <f t="shared" si="10"/>
        <v>46107</v>
      </c>
      <c r="H76" s="65">
        <f t="shared" si="10"/>
        <v>46108</v>
      </c>
      <c r="I76" s="65">
        <f t="shared" si="10"/>
        <v>46109</v>
      </c>
      <c r="K76" s="10"/>
      <c r="L76" s="42"/>
    </row>
    <row r="77" spans="1:14" ht="15">
      <c r="A77" s="142"/>
      <c r="B77" s="96" t="s">
        <v>9</v>
      </c>
      <c r="C77" s="111"/>
      <c r="D77" s="111" t="s">
        <v>113</v>
      </c>
      <c r="E77" s="111"/>
      <c r="F77" s="111" t="s">
        <v>114</v>
      </c>
      <c r="G77" s="111"/>
      <c r="H77" s="111"/>
      <c r="I77" s="112"/>
      <c r="K77" s="10"/>
      <c r="L77" s="42"/>
    </row>
    <row r="78" spans="1:14" ht="30">
      <c r="A78" s="142"/>
      <c r="B78" s="99" t="s">
        <v>234</v>
      </c>
      <c r="C78" s="113"/>
      <c r="D78" s="113"/>
      <c r="E78" s="113" t="s">
        <v>469</v>
      </c>
      <c r="F78" s="113"/>
      <c r="G78" s="113" t="s">
        <v>470</v>
      </c>
      <c r="H78" s="113"/>
      <c r="I78" s="114"/>
      <c r="K78" s="10"/>
      <c r="L78" s="42"/>
      <c r="M78" s="92" t="s">
        <v>381</v>
      </c>
      <c r="N78" s="92" t="s">
        <v>379</v>
      </c>
    </row>
    <row r="79" spans="1:14" ht="30">
      <c r="A79" s="142"/>
      <c r="B79" s="102" t="s">
        <v>235</v>
      </c>
      <c r="C79" s="115"/>
      <c r="D79" s="115"/>
      <c r="E79" s="115" t="s">
        <v>426</v>
      </c>
      <c r="F79" s="115"/>
      <c r="G79" s="115" t="s">
        <v>427</v>
      </c>
      <c r="H79" s="115"/>
      <c r="I79" s="116"/>
      <c r="K79" s="10"/>
      <c r="L79" s="42"/>
      <c r="M79" s="92" t="s">
        <v>361</v>
      </c>
      <c r="N79" s="92" t="s">
        <v>360</v>
      </c>
    </row>
    <row r="80" spans="1:14" ht="30">
      <c r="A80" s="142"/>
      <c r="B80" s="105" t="s">
        <v>15</v>
      </c>
      <c r="C80" s="108"/>
      <c r="D80" s="108" t="s">
        <v>117</v>
      </c>
      <c r="E80" s="108"/>
      <c r="F80" s="108" t="s">
        <v>118</v>
      </c>
      <c r="G80" s="108"/>
      <c r="H80" s="108"/>
      <c r="I80" s="117"/>
      <c r="K80" s="10"/>
      <c r="L80" s="42"/>
    </row>
    <row r="81" spans="1:14" ht="45">
      <c r="A81" s="142"/>
      <c r="B81" s="105" t="s">
        <v>17</v>
      </c>
      <c r="C81" s="108"/>
      <c r="D81" s="108"/>
      <c r="E81" s="108" t="s">
        <v>119</v>
      </c>
      <c r="F81" s="108"/>
      <c r="G81" s="108"/>
      <c r="H81" s="126" t="s">
        <v>471</v>
      </c>
      <c r="I81" s="117" t="s">
        <v>121</v>
      </c>
      <c r="K81" s="10"/>
      <c r="L81" s="42"/>
    </row>
    <row r="82" spans="1:14" ht="30">
      <c r="A82" s="142"/>
      <c r="B82" s="105" t="s">
        <v>19</v>
      </c>
      <c r="C82" s="108"/>
      <c r="D82" s="108"/>
      <c r="E82" s="108"/>
      <c r="F82" s="108"/>
      <c r="G82" s="108"/>
      <c r="H82" s="108"/>
      <c r="I82" s="117" t="s">
        <v>123</v>
      </c>
      <c r="K82" s="10"/>
      <c r="L82" s="42"/>
    </row>
    <row r="83" spans="1:14" ht="15.75" thickBot="1">
      <c r="A83" s="143"/>
      <c r="B83" s="118"/>
      <c r="C83" s="122"/>
      <c r="D83" s="122"/>
      <c r="E83" s="122"/>
      <c r="F83" s="122"/>
      <c r="G83" s="122"/>
      <c r="H83" s="122"/>
      <c r="I83" s="123"/>
    </row>
    <row r="84" spans="1:14" ht="19.5" thickBot="1">
      <c r="A84" s="153"/>
      <c r="B84" s="88"/>
      <c r="C84" s="89">
        <f>C76+7</f>
        <v>46110</v>
      </c>
      <c r="D84" s="89">
        <f>D76+7</f>
        <v>46111</v>
      </c>
      <c r="E84" s="89">
        <f t="shared" ref="E84:I84" si="11">E76+7</f>
        <v>46112</v>
      </c>
      <c r="F84" s="89">
        <f t="shared" si="11"/>
        <v>46113</v>
      </c>
      <c r="G84" s="89">
        <f t="shared" si="11"/>
        <v>46114</v>
      </c>
      <c r="H84" s="89">
        <f t="shared" si="11"/>
        <v>46115</v>
      </c>
      <c r="I84" s="89">
        <f t="shared" si="11"/>
        <v>46116</v>
      </c>
    </row>
    <row r="85" spans="1:14" ht="47.25" thickBot="1">
      <c r="A85" s="154"/>
      <c r="B85" s="150" t="s">
        <v>344</v>
      </c>
      <c r="C85" s="151"/>
      <c r="D85" s="151"/>
      <c r="E85" s="151"/>
      <c r="F85" s="151"/>
      <c r="G85" s="151"/>
      <c r="H85" s="151"/>
      <c r="I85" s="152"/>
    </row>
    <row r="86" spans="1:14" ht="19.5" thickBot="1">
      <c r="A86" s="140">
        <v>12</v>
      </c>
      <c r="B86" s="68"/>
      <c r="C86" s="65">
        <f>C84+7</f>
        <v>46117</v>
      </c>
      <c r="D86" s="65">
        <f t="shared" ref="D86:I86" si="12">D84+7</f>
        <v>46118</v>
      </c>
      <c r="E86" s="65">
        <f t="shared" si="12"/>
        <v>46119</v>
      </c>
      <c r="F86" s="65">
        <f t="shared" si="12"/>
        <v>46120</v>
      </c>
      <c r="G86" s="65">
        <f t="shared" si="12"/>
        <v>46121</v>
      </c>
      <c r="H86" s="65">
        <f t="shared" si="12"/>
        <v>46122</v>
      </c>
      <c r="I86" s="65">
        <f t="shared" si="12"/>
        <v>46123</v>
      </c>
    </row>
    <row r="87" spans="1:14" ht="15">
      <c r="A87" s="142"/>
      <c r="B87" s="96" t="s">
        <v>9</v>
      </c>
      <c r="C87" s="111"/>
      <c r="D87" s="111" t="s">
        <v>124</v>
      </c>
      <c r="E87" s="111"/>
      <c r="F87" s="111" t="s">
        <v>125</v>
      </c>
      <c r="G87" s="111"/>
      <c r="H87" s="111"/>
      <c r="I87" s="112"/>
    </row>
    <row r="88" spans="1:14" ht="30">
      <c r="A88" s="142"/>
      <c r="B88" s="99" t="s">
        <v>234</v>
      </c>
      <c r="C88" s="113"/>
      <c r="D88" s="113"/>
      <c r="E88" s="113" t="s">
        <v>472</v>
      </c>
      <c r="F88" s="113"/>
      <c r="G88" s="113" t="s">
        <v>473</v>
      </c>
      <c r="H88" s="113"/>
      <c r="I88" s="114"/>
      <c r="M88" s="92" t="s">
        <v>393</v>
      </c>
      <c r="N88" s="92" t="s">
        <v>380</v>
      </c>
    </row>
    <row r="89" spans="1:14" ht="30">
      <c r="A89" s="142"/>
      <c r="B89" s="102" t="s">
        <v>236</v>
      </c>
      <c r="C89" s="115"/>
      <c r="D89" s="115"/>
      <c r="E89" s="115" t="s">
        <v>417</v>
      </c>
      <c r="F89" s="115"/>
      <c r="G89" s="115" t="s">
        <v>418</v>
      </c>
      <c r="H89" s="115"/>
      <c r="I89" s="116"/>
      <c r="M89" s="92" t="s">
        <v>362</v>
      </c>
      <c r="N89" s="92" t="s">
        <v>361</v>
      </c>
    </row>
    <row r="90" spans="1:14" ht="30">
      <c r="A90" s="142"/>
      <c r="B90" s="105" t="s">
        <v>15</v>
      </c>
      <c r="C90" s="108"/>
      <c r="D90" s="108" t="s">
        <v>128</v>
      </c>
      <c r="E90" s="108"/>
      <c r="F90" s="108" t="s">
        <v>129</v>
      </c>
      <c r="G90" s="108"/>
      <c r="H90" s="108"/>
      <c r="I90" s="117"/>
    </row>
    <row r="91" spans="1:14" ht="45">
      <c r="A91" s="142"/>
      <c r="B91" s="105" t="s">
        <v>17</v>
      </c>
      <c r="C91" s="108"/>
      <c r="D91" s="108"/>
      <c r="E91" s="108" t="s">
        <v>130</v>
      </c>
      <c r="F91" s="108"/>
      <c r="G91" s="126"/>
      <c r="H91" s="108" t="s">
        <v>474</v>
      </c>
      <c r="I91" s="117" t="s">
        <v>131</v>
      </c>
    </row>
    <row r="92" spans="1:14" ht="45">
      <c r="A92" s="142"/>
      <c r="B92" s="105" t="s">
        <v>19</v>
      </c>
      <c r="C92" s="108" t="s">
        <v>429</v>
      </c>
      <c r="D92" s="108"/>
      <c r="E92" s="108"/>
      <c r="F92" s="108"/>
      <c r="G92" s="108"/>
      <c r="H92" s="108"/>
      <c r="I92" s="117" t="s">
        <v>133</v>
      </c>
    </row>
    <row r="93" spans="1:14" ht="15.75" thickBot="1">
      <c r="A93" s="143"/>
      <c r="B93" s="118"/>
      <c r="C93" s="110"/>
      <c r="D93" s="110"/>
      <c r="E93" s="110"/>
      <c r="F93" s="110"/>
      <c r="G93" s="110"/>
      <c r="H93" s="110"/>
      <c r="I93" s="120"/>
    </row>
    <row r="94" spans="1:14" ht="19.5" thickBot="1">
      <c r="A94" s="140">
        <v>13</v>
      </c>
      <c r="B94" s="68"/>
      <c r="C94" s="65">
        <f>C86+7</f>
        <v>46124</v>
      </c>
      <c r="D94" s="65">
        <f t="shared" ref="D94:I94" si="13">D86+7</f>
        <v>46125</v>
      </c>
      <c r="E94" s="65">
        <f t="shared" si="13"/>
        <v>46126</v>
      </c>
      <c r="F94" s="65">
        <f t="shared" si="13"/>
        <v>46127</v>
      </c>
      <c r="G94" s="65">
        <f t="shared" si="13"/>
        <v>46128</v>
      </c>
      <c r="H94" s="65">
        <f t="shared" si="13"/>
        <v>46129</v>
      </c>
      <c r="I94" s="65">
        <f t="shared" si="13"/>
        <v>46130</v>
      </c>
    </row>
    <row r="95" spans="1:14" ht="15">
      <c r="A95" s="142"/>
      <c r="B95" s="96" t="s">
        <v>9</v>
      </c>
      <c r="C95" s="111"/>
      <c r="D95" s="111"/>
      <c r="E95" s="111"/>
      <c r="F95" s="111" t="s">
        <v>134</v>
      </c>
      <c r="G95" s="111"/>
      <c r="H95" s="111"/>
      <c r="I95" s="112"/>
    </row>
    <row r="96" spans="1:14" ht="15">
      <c r="A96" s="142"/>
      <c r="B96" s="99" t="s">
        <v>234</v>
      </c>
      <c r="C96" s="113"/>
      <c r="D96" s="113"/>
      <c r="E96" s="124" t="s">
        <v>475</v>
      </c>
      <c r="F96" s="113"/>
      <c r="G96" s="113" t="s">
        <v>476</v>
      </c>
      <c r="H96" s="113"/>
      <c r="I96" s="114"/>
      <c r="M96" s="92" t="s">
        <v>382</v>
      </c>
      <c r="N96" s="92" t="s">
        <v>381</v>
      </c>
    </row>
    <row r="97" spans="1:14" ht="30">
      <c r="A97" s="142"/>
      <c r="B97" s="102" t="s">
        <v>236</v>
      </c>
      <c r="C97" s="115"/>
      <c r="D97" s="115"/>
      <c r="E97" s="115" t="s">
        <v>419</v>
      </c>
      <c r="F97" s="115"/>
      <c r="G97" s="115" t="s">
        <v>420</v>
      </c>
      <c r="H97" s="115"/>
      <c r="I97" s="116"/>
      <c r="M97" s="92" t="s">
        <v>363</v>
      </c>
      <c r="N97" s="92" t="s">
        <v>362</v>
      </c>
    </row>
    <row r="98" spans="1:14" ht="30">
      <c r="A98" s="142"/>
      <c r="B98" s="105" t="s">
        <v>15</v>
      </c>
      <c r="C98" s="126"/>
      <c r="D98" s="126" t="s">
        <v>94</v>
      </c>
      <c r="E98" s="108"/>
      <c r="F98" s="108" t="s">
        <v>137</v>
      </c>
      <c r="G98" s="108"/>
      <c r="H98" s="108"/>
      <c r="I98" s="117"/>
      <c r="K98"/>
      <c r="L98" s="11"/>
    </row>
    <row r="99" spans="1:14" ht="45">
      <c r="A99" s="142"/>
      <c r="B99" s="105" t="s">
        <v>17</v>
      </c>
      <c r="C99" s="108"/>
      <c r="D99" s="108"/>
      <c r="E99" s="108" t="s">
        <v>138</v>
      </c>
      <c r="F99" s="108"/>
      <c r="G99" s="108"/>
      <c r="H99" s="108" t="s">
        <v>477</v>
      </c>
      <c r="I99" s="117" t="s">
        <v>140</v>
      </c>
      <c r="K99"/>
      <c r="L99" s="11"/>
    </row>
    <row r="100" spans="1:14" ht="30">
      <c r="A100" s="142"/>
      <c r="B100" s="105" t="s">
        <v>19</v>
      </c>
      <c r="C100" s="108" t="s">
        <v>430</v>
      </c>
      <c r="D100" s="108"/>
      <c r="E100" s="108"/>
      <c r="F100" s="108"/>
      <c r="G100" s="126"/>
      <c r="H100" s="108"/>
      <c r="I100" s="117" t="s">
        <v>142</v>
      </c>
      <c r="K100"/>
      <c r="L100" s="11"/>
    </row>
    <row r="101" spans="1:14" ht="15.75" thickBot="1">
      <c r="A101" s="143"/>
      <c r="B101" s="118"/>
      <c r="C101" s="110"/>
      <c r="D101" s="110"/>
      <c r="E101" s="110"/>
      <c r="F101" s="110"/>
      <c r="G101" s="110"/>
      <c r="H101" s="110"/>
      <c r="I101" s="120"/>
    </row>
    <row r="102" spans="1:14" ht="19.5" thickBot="1">
      <c r="A102" s="140">
        <v>14</v>
      </c>
      <c r="B102" s="68"/>
      <c r="C102" s="65">
        <f t="shared" ref="C102:I102" si="14">C94+7</f>
        <v>46131</v>
      </c>
      <c r="D102" s="65">
        <f t="shared" si="14"/>
        <v>46132</v>
      </c>
      <c r="E102" s="65">
        <f t="shared" si="14"/>
        <v>46133</v>
      </c>
      <c r="F102" s="65">
        <f t="shared" si="14"/>
        <v>46134</v>
      </c>
      <c r="G102" s="65">
        <f t="shared" si="14"/>
        <v>46135</v>
      </c>
      <c r="H102" s="65">
        <f t="shared" si="14"/>
        <v>46136</v>
      </c>
      <c r="I102" s="65">
        <f t="shared" si="14"/>
        <v>46137</v>
      </c>
    </row>
    <row r="103" spans="1:14" ht="15">
      <c r="A103" s="142"/>
      <c r="B103" s="96" t="s">
        <v>9</v>
      </c>
      <c r="C103" s="111"/>
      <c r="D103" s="111" t="s">
        <v>143</v>
      </c>
      <c r="E103" s="111"/>
      <c r="F103" s="111" t="s">
        <v>144</v>
      </c>
      <c r="G103" s="111"/>
      <c r="H103" s="111"/>
      <c r="I103" s="112"/>
    </row>
    <row r="104" spans="1:14" ht="15">
      <c r="A104" s="142"/>
      <c r="B104" s="99" t="s">
        <v>234</v>
      </c>
      <c r="C104" s="113"/>
      <c r="D104" s="113"/>
      <c r="E104" s="113" t="s">
        <v>478</v>
      </c>
      <c r="F104" s="113"/>
      <c r="G104" s="113" t="s">
        <v>479</v>
      </c>
      <c r="H104" s="113"/>
      <c r="I104" s="114"/>
      <c r="M104" s="92" t="s">
        <v>392</v>
      </c>
      <c r="N104" s="92" t="s">
        <v>382</v>
      </c>
    </row>
    <row r="105" spans="1:14" ht="30">
      <c r="A105" s="142"/>
      <c r="B105" s="102" t="s">
        <v>236</v>
      </c>
      <c r="C105" s="115"/>
      <c r="D105" s="115"/>
      <c r="E105" s="115" t="s">
        <v>421</v>
      </c>
      <c r="F105" s="115"/>
      <c r="G105" s="115" t="s">
        <v>422</v>
      </c>
      <c r="H105" s="115"/>
      <c r="I105" s="116"/>
      <c r="M105" s="92" t="s">
        <v>364</v>
      </c>
      <c r="N105" s="92" t="s">
        <v>363</v>
      </c>
    </row>
    <row r="106" spans="1:14" ht="30">
      <c r="A106" s="142"/>
      <c r="B106" s="105" t="s">
        <v>15</v>
      </c>
      <c r="C106" s="108"/>
      <c r="D106" s="108" t="s">
        <v>148</v>
      </c>
      <c r="E106" s="108"/>
      <c r="F106" s="108" t="s">
        <v>149</v>
      </c>
      <c r="G106" s="108"/>
      <c r="H106" s="108"/>
      <c r="I106" s="117"/>
    </row>
    <row r="107" spans="1:14" ht="15">
      <c r="A107" s="142"/>
      <c r="B107" s="105" t="s">
        <v>17</v>
      </c>
      <c r="C107" s="108"/>
      <c r="D107" s="108"/>
      <c r="E107" s="108" t="s">
        <v>150</v>
      </c>
      <c r="F107" s="108"/>
      <c r="G107" s="108"/>
      <c r="H107" s="108" t="s">
        <v>480</v>
      </c>
      <c r="I107" s="117"/>
    </row>
    <row r="108" spans="1:14" ht="60">
      <c r="A108" s="142"/>
      <c r="B108" s="105" t="s">
        <v>19</v>
      </c>
      <c r="C108" s="108" t="s">
        <v>431</v>
      </c>
      <c r="D108" s="108"/>
      <c r="E108" s="108"/>
      <c r="F108" s="108"/>
      <c r="G108" s="108"/>
      <c r="H108" s="108"/>
      <c r="I108" s="117" t="s">
        <v>153</v>
      </c>
    </row>
    <row r="109" spans="1:14" ht="15.75" thickBot="1">
      <c r="A109" s="143"/>
      <c r="B109" s="118"/>
      <c r="C109" s="110"/>
      <c r="D109" s="110"/>
      <c r="E109" s="110"/>
      <c r="F109" s="110"/>
      <c r="G109" s="110"/>
      <c r="H109" s="110"/>
      <c r="I109" s="120"/>
    </row>
    <row r="110" spans="1:14" ht="19.5" thickBot="1">
      <c r="A110" s="140">
        <v>15</v>
      </c>
      <c r="B110" s="68"/>
      <c r="C110" s="65">
        <f>C102+7</f>
        <v>46138</v>
      </c>
      <c r="D110" s="65">
        <f>D102+7</f>
        <v>46139</v>
      </c>
      <c r="E110" s="65">
        <f t="shared" ref="E110:I110" si="15">E102+7</f>
        <v>46140</v>
      </c>
      <c r="F110" s="65">
        <f t="shared" si="15"/>
        <v>46141</v>
      </c>
      <c r="G110" s="65">
        <f t="shared" si="15"/>
        <v>46142</v>
      </c>
      <c r="H110" s="65">
        <f t="shared" si="15"/>
        <v>46143</v>
      </c>
      <c r="I110" s="65">
        <f t="shared" si="15"/>
        <v>46144</v>
      </c>
    </row>
    <row r="111" spans="1:14" ht="15">
      <c r="A111" s="142"/>
      <c r="B111" s="96" t="s">
        <v>9</v>
      </c>
      <c r="C111" s="111"/>
      <c r="D111" s="111" t="s">
        <v>154</v>
      </c>
      <c r="E111" s="111"/>
      <c r="F111" s="111" t="s">
        <v>155</v>
      </c>
      <c r="G111" s="111"/>
      <c r="H111" s="111"/>
      <c r="I111" s="112"/>
    </row>
    <row r="112" spans="1:14" ht="30">
      <c r="A112" s="142"/>
      <c r="B112" s="99" t="s">
        <v>234</v>
      </c>
      <c r="C112" s="113"/>
      <c r="D112" s="113"/>
      <c r="E112" s="113" t="s">
        <v>481</v>
      </c>
      <c r="F112" s="113"/>
      <c r="G112" s="113" t="s">
        <v>482</v>
      </c>
      <c r="H112" s="113"/>
      <c r="I112" s="114"/>
      <c r="M112" s="95" t="s">
        <v>391</v>
      </c>
      <c r="N112" s="92" t="s">
        <v>383</v>
      </c>
    </row>
    <row r="113" spans="1:14" ht="45">
      <c r="A113" s="142"/>
      <c r="B113" s="102" t="s">
        <v>236</v>
      </c>
      <c r="C113" s="115"/>
      <c r="D113" s="115"/>
      <c r="E113" s="115" t="s">
        <v>423</v>
      </c>
      <c r="F113" s="115"/>
      <c r="G113" s="115" t="s">
        <v>424</v>
      </c>
      <c r="H113" s="115"/>
      <c r="I113" s="116"/>
      <c r="N113" s="92" t="s">
        <v>364</v>
      </c>
    </row>
    <row r="114" spans="1:14" ht="30">
      <c r="A114" s="142"/>
      <c r="B114" s="105" t="s">
        <v>15</v>
      </c>
      <c r="C114" s="108"/>
      <c r="D114" s="108" t="s">
        <v>158</v>
      </c>
      <c r="E114" s="108"/>
      <c r="F114" s="108" t="s">
        <v>159</v>
      </c>
      <c r="G114" s="108"/>
      <c r="H114" s="108"/>
      <c r="I114" s="117"/>
    </row>
    <row r="115" spans="1:14" ht="15">
      <c r="A115" s="142"/>
      <c r="B115" s="105" t="s">
        <v>17</v>
      </c>
      <c r="C115" s="108"/>
      <c r="D115" s="108"/>
      <c r="E115" s="108" t="s">
        <v>160</v>
      </c>
      <c r="F115" s="108"/>
      <c r="G115" s="108"/>
      <c r="H115" s="108" t="s">
        <v>483</v>
      </c>
      <c r="I115" s="117"/>
    </row>
    <row r="116" spans="1:14" ht="45">
      <c r="A116" s="142"/>
      <c r="B116" s="105" t="s">
        <v>19</v>
      </c>
      <c r="C116" s="108" t="s">
        <v>432</v>
      </c>
      <c r="D116" s="108"/>
      <c r="E116" s="108"/>
      <c r="F116" s="108"/>
      <c r="G116" s="108"/>
      <c r="H116" s="108"/>
      <c r="I116" s="117" t="s">
        <v>163</v>
      </c>
    </row>
    <row r="117" spans="1:14" ht="15.75" thickBot="1">
      <c r="A117" s="143"/>
      <c r="B117" s="118"/>
      <c r="C117" s="110"/>
      <c r="D117" s="110"/>
      <c r="E117" s="110"/>
      <c r="F117" s="110"/>
      <c r="G117" s="110"/>
      <c r="H117" s="110"/>
      <c r="I117" s="120"/>
    </row>
    <row r="118" spans="1:14" ht="19.5" thickBot="1">
      <c r="A118" s="140">
        <v>16</v>
      </c>
      <c r="B118" s="68"/>
      <c r="C118" s="65">
        <f>C110+7</f>
        <v>46145</v>
      </c>
      <c r="D118" s="65">
        <f>D110+7</f>
        <v>46146</v>
      </c>
      <c r="E118" s="65">
        <f t="shared" ref="E118:I118" si="16">E110+7</f>
        <v>46147</v>
      </c>
      <c r="F118" s="65">
        <f t="shared" si="16"/>
        <v>46148</v>
      </c>
      <c r="G118" s="65">
        <f t="shared" si="16"/>
        <v>46149</v>
      </c>
      <c r="H118" s="65">
        <f t="shared" si="16"/>
        <v>46150</v>
      </c>
      <c r="I118" s="65">
        <f t="shared" si="16"/>
        <v>46151</v>
      </c>
    </row>
    <row r="119" spans="1:14" ht="15">
      <c r="A119" s="142"/>
      <c r="B119" s="96" t="s">
        <v>9</v>
      </c>
      <c r="C119" s="111"/>
      <c r="D119" s="111" t="s">
        <v>164</v>
      </c>
      <c r="E119" s="111"/>
      <c r="F119" s="111"/>
      <c r="G119" s="111"/>
      <c r="H119" s="111"/>
      <c r="I119" s="112"/>
    </row>
    <row r="120" spans="1:14" ht="15">
      <c r="A120" s="142"/>
      <c r="B120" s="99" t="s">
        <v>234</v>
      </c>
      <c r="C120" s="113"/>
      <c r="D120" s="113"/>
      <c r="E120" s="113" t="s">
        <v>484</v>
      </c>
      <c r="F120" s="113"/>
      <c r="G120" s="113"/>
      <c r="H120" s="113"/>
      <c r="I120" s="114"/>
      <c r="M120" s="92" t="s">
        <v>389</v>
      </c>
      <c r="N120" s="92" t="s">
        <v>384</v>
      </c>
    </row>
    <row r="121" spans="1:14" ht="15">
      <c r="A121" s="142"/>
      <c r="B121" s="102"/>
      <c r="C121" s="115"/>
      <c r="D121" s="115"/>
      <c r="E121" s="115" t="s">
        <v>435</v>
      </c>
      <c r="F121" s="115"/>
      <c r="G121" s="115" t="s">
        <v>435</v>
      </c>
      <c r="H121" s="115"/>
      <c r="I121" s="116"/>
      <c r="M121" s="92" t="s">
        <v>390</v>
      </c>
      <c r="N121" s="92" t="s">
        <v>386</v>
      </c>
    </row>
    <row r="122" spans="1:14" ht="30">
      <c r="A122" s="142"/>
      <c r="B122" s="105" t="s">
        <v>15</v>
      </c>
      <c r="C122" s="108"/>
      <c r="D122" s="108" t="s">
        <v>168</v>
      </c>
      <c r="E122" s="108"/>
      <c r="F122" s="108"/>
      <c r="G122" s="108"/>
      <c r="H122" s="108"/>
      <c r="I122" s="117"/>
    </row>
    <row r="123" spans="1:14" ht="15">
      <c r="A123" s="142"/>
      <c r="B123" s="105" t="s">
        <v>17</v>
      </c>
      <c r="C123" s="108"/>
      <c r="D123" s="108"/>
      <c r="E123" s="108" t="s">
        <v>169</v>
      </c>
      <c r="F123" s="126"/>
      <c r="G123" s="108"/>
      <c r="H123" s="108"/>
      <c r="I123" s="117" t="s">
        <v>485</v>
      </c>
    </row>
    <row r="124" spans="1:14" ht="30.75" thickBot="1">
      <c r="A124" s="142"/>
      <c r="B124" s="118" t="s">
        <v>19</v>
      </c>
      <c r="C124" s="122"/>
      <c r="D124" s="122"/>
      <c r="E124" s="122"/>
      <c r="F124" s="122" t="s">
        <v>171</v>
      </c>
      <c r="G124" s="122"/>
      <c r="H124" s="122"/>
      <c r="I124" s="123"/>
    </row>
    <row r="125" spans="1:14" ht="19.5" thickBot="1">
      <c r="A125" s="140">
        <v>17</v>
      </c>
      <c r="B125" s="70"/>
      <c r="C125" s="65">
        <f t="shared" ref="C125:I125" si="17">C118+7</f>
        <v>46152</v>
      </c>
      <c r="D125" s="65">
        <f t="shared" si="17"/>
        <v>46153</v>
      </c>
      <c r="E125" s="65">
        <f t="shared" si="17"/>
        <v>46154</v>
      </c>
      <c r="F125" s="65">
        <f t="shared" si="17"/>
        <v>46155</v>
      </c>
      <c r="G125" s="65">
        <f t="shared" si="17"/>
        <v>46156</v>
      </c>
      <c r="H125" s="65">
        <f t="shared" si="17"/>
        <v>46157</v>
      </c>
      <c r="I125" s="65">
        <f t="shared" si="17"/>
        <v>46158</v>
      </c>
    </row>
    <row r="126" spans="1:14" ht="15">
      <c r="A126" s="141"/>
      <c r="B126" s="129" t="s">
        <v>9</v>
      </c>
      <c r="C126" s="97"/>
      <c r="D126" s="97"/>
      <c r="E126" s="97"/>
      <c r="F126" s="97"/>
      <c r="G126" s="97"/>
      <c r="H126" s="97"/>
      <c r="I126" s="98"/>
    </row>
    <row r="127" spans="1:14" ht="15">
      <c r="A127" s="141"/>
      <c r="B127" s="99" t="s">
        <v>234</v>
      </c>
      <c r="C127" s="100"/>
      <c r="D127" s="100"/>
      <c r="E127" s="130" t="s">
        <v>486</v>
      </c>
      <c r="F127" s="100"/>
      <c r="G127" s="100" t="s">
        <v>434</v>
      </c>
      <c r="H127" s="100"/>
      <c r="I127" s="101"/>
      <c r="M127" s="92" t="s">
        <v>388</v>
      </c>
      <c r="N127" s="92" t="s">
        <v>385</v>
      </c>
    </row>
    <row r="128" spans="1:14" ht="30">
      <c r="A128" s="141"/>
      <c r="B128" s="102" t="s">
        <v>236</v>
      </c>
      <c r="C128" s="103"/>
      <c r="D128" s="103"/>
      <c r="E128" s="103" t="s">
        <v>238</v>
      </c>
      <c r="F128" s="103"/>
      <c r="G128" s="103" t="s">
        <v>240</v>
      </c>
      <c r="H128" s="103"/>
      <c r="I128" s="104"/>
      <c r="M128" s="92" t="s">
        <v>209</v>
      </c>
      <c r="N128" s="92" t="s">
        <v>387</v>
      </c>
    </row>
    <row r="129" spans="1:9" ht="15">
      <c r="A129" s="141"/>
      <c r="B129" s="105" t="s">
        <v>15</v>
      </c>
      <c r="C129" s="131"/>
      <c r="D129" s="131"/>
      <c r="E129" s="131"/>
      <c r="F129" s="107"/>
      <c r="G129" s="106"/>
      <c r="H129" s="107"/>
      <c r="I129" s="109"/>
    </row>
    <row r="130" spans="1:9" ht="15.75" thickBot="1">
      <c r="A130" s="141"/>
      <c r="B130" s="118" t="s">
        <v>17</v>
      </c>
      <c r="C130" s="110"/>
      <c r="D130" s="110"/>
      <c r="E130" s="110"/>
      <c r="F130" s="110"/>
      <c r="G130" s="110"/>
      <c r="H130" s="132" t="s">
        <v>175</v>
      </c>
      <c r="I130" s="133"/>
    </row>
    <row r="131" spans="1:9" ht="19.5" thickBot="1">
      <c r="A131" s="140" t="s">
        <v>176</v>
      </c>
      <c r="B131" s="70"/>
      <c r="C131" s="65">
        <f>C125+7</f>
        <v>46159</v>
      </c>
      <c r="D131" s="65">
        <f>D125+7</f>
        <v>46160</v>
      </c>
      <c r="E131" s="65">
        <f t="shared" ref="E131:I131" si="18">E125+7</f>
        <v>46161</v>
      </c>
      <c r="F131" s="65">
        <f t="shared" si="18"/>
        <v>46162</v>
      </c>
      <c r="G131" s="65">
        <f t="shared" si="18"/>
        <v>46163</v>
      </c>
      <c r="H131" s="65">
        <f t="shared" si="18"/>
        <v>46164</v>
      </c>
      <c r="I131" s="65">
        <f t="shared" si="18"/>
        <v>46165</v>
      </c>
    </row>
    <row r="132" spans="1:9" ht="15">
      <c r="A132" s="142"/>
      <c r="B132" s="144"/>
      <c r="C132" s="144"/>
      <c r="D132" s="137"/>
      <c r="E132" s="147" t="s">
        <v>433</v>
      </c>
      <c r="F132" s="134"/>
      <c r="G132" s="137"/>
      <c r="H132" s="137"/>
      <c r="I132" s="66"/>
    </row>
    <row r="133" spans="1:9" ht="15">
      <c r="A133" s="142"/>
      <c r="B133" s="145"/>
      <c r="C133" s="145"/>
      <c r="D133" s="138"/>
      <c r="E133" s="148"/>
      <c r="F133" s="135"/>
      <c r="G133" s="138"/>
      <c r="H133" s="138"/>
      <c r="I133" s="66"/>
    </row>
    <row r="134" spans="1:9" ht="15">
      <c r="A134" s="142"/>
      <c r="B134" s="145"/>
      <c r="C134" s="145"/>
      <c r="D134" s="138"/>
      <c r="E134" s="148"/>
      <c r="F134" s="135"/>
      <c r="G134" s="138"/>
      <c r="H134" s="138"/>
      <c r="I134" s="66"/>
    </row>
    <row r="135" spans="1:9" ht="15.75" thickBot="1">
      <c r="A135" s="143"/>
      <c r="B135" s="146"/>
      <c r="C135" s="146"/>
      <c r="D135" s="139"/>
      <c r="E135" s="149"/>
      <c r="F135" s="136"/>
      <c r="G135" s="139"/>
      <c r="H135" s="139"/>
      <c r="I135" s="71"/>
    </row>
    <row r="142" spans="1:9">
      <c r="G142" s="8">
        <f>17*7</f>
        <v>119</v>
      </c>
    </row>
  </sheetData>
  <mergeCells count="27">
    <mergeCell ref="B85:I85"/>
    <mergeCell ref="A84:A85"/>
    <mergeCell ref="H132:H135"/>
    <mergeCell ref="B132:B135"/>
    <mergeCell ref="C132:C135"/>
    <mergeCell ref="D132:D135"/>
    <mergeCell ref="E132:E135"/>
    <mergeCell ref="F132:F135"/>
    <mergeCell ref="G132:G135"/>
    <mergeCell ref="A131:A135"/>
    <mergeCell ref="A94:A101"/>
    <mergeCell ref="A102:A109"/>
    <mergeCell ref="A110:A117"/>
    <mergeCell ref="A118:A124"/>
    <mergeCell ref="A125:A130"/>
    <mergeCell ref="A86:A93"/>
    <mergeCell ref="A46:A52"/>
    <mergeCell ref="A53:A59"/>
    <mergeCell ref="A60:A67"/>
    <mergeCell ref="A68:A75"/>
    <mergeCell ref="A76:A83"/>
    <mergeCell ref="A38:A45"/>
    <mergeCell ref="A2:A8"/>
    <mergeCell ref="A9:A16"/>
    <mergeCell ref="A17:A22"/>
    <mergeCell ref="A23:A30"/>
    <mergeCell ref="A31:A37"/>
  </mergeCells>
  <pageMargins left="0.7" right="0.7" top="0.75" bottom="0.75" header="0.3" footer="0.3"/>
  <pageSetup scale="56" fitToHeight="0" orientation="landscape" horizontalDpi="360" verticalDpi="360" r:id="rId1"/>
  <headerFooter>
    <oddFooter>&amp;LRevision &amp;D&amp;C&amp;"-,Bold"&amp;F&amp;RPage &amp;P</oddFooter>
  </headerFooter>
  <rowBreaks count="3" manualBreakCount="3">
    <brk id="37" max="16383" man="1"/>
    <brk id="75" max="8" man="1"/>
    <brk id="117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FCBC-BB6B-4BFD-9945-960E780ED800}">
  <dimension ref="A1:F130"/>
  <sheetViews>
    <sheetView topLeftCell="A11" workbookViewId="0">
      <selection activeCell="J30" sqref="J30"/>
    </sheetView>
  </sheetViews>
  <sheetFormatPr defaultRowHeight="15"/>
  <cols>
    <col min="1" max="3" width="31.42578125" customWidth="1"/>
  </cols>
  <sheetData>
    <row r="1" spans="1:6" ht="16.5" thickBot="1">
      <c r="A1" s="73" t="s">
        <v>0</v>
      </c>
      <c r="B1" s="74" t="s">
        <v>243</v>
      </c>
      <c r="C1" s="74" t="s">
        <v>244</v>
      </c>
      <c r="D1" s="75"/>
    </row>
    <row r="2" spans="1:6" ht="15.75">
      <c r="A2" s="76" t="s">
        <v>245</v>
      </c>
      <c r="B2" s="80" t="s">
        <v>248</v>
      </c>
      <c r="C2" s="81" t="s">
        <v>252</v>
      </c>
      <c r="D2" s="155"/>
      <c r="F2">
        <v>45</v>
      </c>
    </row>
    <row r="3" spans="1:6">
      <c r="A3" s="77"/>
      <c r="B3" s="81" t="s">
        <v>249</v>
      </c>
      <c r="C3" s="81" t="s">
        <v>253</v>
      </c>
      <c r="D3" s="155"/>
      <c r="F3">
        <v>17.5</v>
      </c>
    </row>
    <row r="4" spans="1:6" ht="25.5">
      <c r="A4" s="78" t="s">
        <v>246</v>
      </c>
      <c r="B4" s="81" t="s">
        <v>250</v>
      </c>
      <c r="C4" s="81"/>
      <c r="D4" s="155"/>
      <c r="F4">
        <v>5</v>
      </c>
    </row>
    <row r="5" spans="1:6">
      <c r="A5" s="79">
        <v>46034</v>
      </c>
      <c r="B5" s="81"/>
      <c r="C5" s="83"/>
      <c r="D5" s="75"/>
      <c r="F5">
        <v>15</v>
      </c>
    </row>
    <row r="6" spans="1:6" ht="15.75">
      <c r="A6" s="78" t="s">
        <v>247</v>
      </c>
      <c r="B6" s="80" t="s">
        <v>251</v>
      </c>
      <c r="C6" s="83"/>
      <c r="D6" s="75"/>
      <c r="F6">
        <v>5</v>
      </c>
    </row>
    <row r="7" spans="1:6" ht="15.75" thickBot="1">
      <c r="A7" s="79">
        <v>46040</v>
      </c>
      <c r="B7" s="82" t="s">
        <v>13</v>
      </c>
      <c r="C7" s="84"/>
      <c r="D7" s="75"/>
      <c r="F7">
        <v>12.5</v>
      </c>
    </row>
    <row r="8" spans="1:6" ht="15.75">
      <c r="A8" s="76" t="s">
        <v>254</v>
      </c>
      <c r="B8" s="80" t="s">
        <v>248</v>
      </c>
      <c r="C8" s="81" t="s">
        <v>259</v>
      </c>
      <c r="D8" s="155"/>
      <c r="F8">
        <f>SUM(F2:F7)</f>
        <v>100</v>
      </c>
    </row>
    <row r="9" spans="1:6">
      <c r="A9" s="77"/>
      <c r="B9" s="81" t="s">
        <v>255</v>
      </c>
      <c r="C9" s="81"/>
      <c r="D9" s="155"/>
    </row>
    <row r="10" spans="1:6" ht="25.5">
      <c r="A10" s="78" t="s">
        <v>246</v>
      </c>
      <c r="B10" s="81" t="s">
        <v>256</v>
      </c>
      <c r="C10" s="81" t="s">
        <v>260</v>
      </c>
      <c r="D10" s="155"/>
    </row>
    <row r="11" spans="1:6" ht="15.75">
      <c r="A11" s="79">
        <v>46041</v>
      </c>
      <c r="B11" s="80"/>
      <c r="C11" s="83"/>
      <c r="D11" s="155"/>
    </row>
    <row r="12" spans="1:6" ht="15.75">
      <c r="A12" s="78" t="s">
        <v>247</v>
      </c>
      <c r="B12" s="80" t="s">
        <v>251</v>
      </c>
      <c r="C12" s="83"/>
      <c r="D12" s="75"/>
    </row>
    <row r="13" spans="1:6" ht="25.5">
      <c r="A13" s="79">
        <v>46047</v>
      </c>
      <c r="B13" s="81" t="s">
        <v>257</v>
      </c>
      <c r="C13" s="83"/>
      <c r="D13" s="75"/>
    </row>
    <row r="14" spans="1:6" ht="26.25" thickBot="1">
      <c r="A14" s="83"/>
      <c r="B14" s="82" t="s">
        <v>258</v>
      </c>
      <c r="C14" s="84"/>
      <c r="D14" s="75"/>
    </row>
    <row r="15" spans="1:6" ht="15.75">
      <c r="A15" s="76" t="s">
        <v>261</v>
      </c>
      <c r="B15" s="80" t="s">
        <v>248</v>
      </c>
      <c r="C15" s="81" t="s">
        <v>267</v>
      </c>
      <c r="D15" s="155"/>
    </row>
    <row r="16" spans="1:6" ht="25.5">
      <c r="A16" s="77"/>
      <c r="B16" s="81" t="s">
        <v>262</v>
      </c>
      <c r="C16" s="81" t="s">
        <v>268</v>
      </c>
      <c r="D16" s="155"/>
    </row>
    <row r="17" spans="1:4" ht="15.75">
      <c r="A17" s="78" t="s">
        <v>246</v>
      </c>
      <c r="B17" s="80" t="s">
        <v>263</v>
      </c>
      <c r="C17" s="81"/>
      <c r="D17" s="155"/>
    </row>
    <row r="18" spans="1:4" ht="28.5">
      <c r="A18" s="79">
        <v>46048</v>
      </c>
      <c r="B18" s="80" t="s">
        <v>264</v>
      </c>
      <c r="C18" s="81" t="s">
        <v>269</v>
      </c>
      <c r="D18" s="155"/>
    </row>
    <row r="19" spans="1:4">
      <c r="A19" s="78" t="s">
        <v>247</v>
      </c>
      <c r="B19" s="81" t="s">
        <v>265</v>
      </c>
      <c r="C19" s="81" t="s">
        <v>270</v>
      </c>
      <c r="D19" s="155"/>
    </row>
    <row r="20" spans="1:4" ht="15.75">
      <c r="A20" s="79">
        <v>46054</v>
      </c>
      <c r="B20" s="80" t="s">
        <v>251</v>
      </c>
      <c r="C20" s="83"/>
      <c r="D20" s="75"/>
    </row>
    <row r="21" spans="1:4">
      <c r="A21" s="83"/>
      <c r="B21" s="81" t="s">
        <v>266</v>
      </c>
      <c r="C21" s="83"/>
      <c r="D21" s="75"/>
    </row>
    <row r="22" spans="1:4" ht="15.75" thickBot="1">
      <c r="A22" s="83"/>
      <c r="B22" s="82"/>
      <c r="C22" s="84"/>
      <c r="D22" s="75"/>
    </row>
    <row r="23" spans="1:4" ht="25.5">
      <c r="A23" s="76" t="s">
        <v>271</v>
      </c>
      <c r="B23" s="80" t="s">
        <v>248</v>
      </c>
      <c r="C23" s="81" t="s">
        <v>276</v>
      </c>
      <c r="D23" s="155"/>
    </row>
    <row r="24" spans="1:4">
      <c r="A24" s="77"/>
      <c r="B24" s="81" t="s">
        <v>272</v>
      </c>
      <c r="C24" s="81"/>
      <c r="D24" s="155"/>
    </row>
    <row r="25" spans="1:4" ht="15.75">
      <c r="A25" s="78" t="s">
        <v>246</v>
      </c>
      <c r="B25" s="80" t="s">
        <v>263</v>
      </c>
      <c r="C25" s="81" t="s">
        <v>277</v>
      </c>
      <c r="D25" s="155"/>
    </row>
    <row r="26" spans="1:4" ht="15.75">
      <c r="A26" s="79">
        <v>46055</v>
      </c>
      <c r="B26" s="80" t="s">
        <v>273</v>
      </c>
      <c r="C26" s="83"/>
      <c r="D26" s="155"/>
    </row>
    <row r="27" spans="1:4">
      <c r="A27" s="78" t="s">
        <v>247</v>
      </c>
      <c r="B27" s="81" t="s">
        <v>274</v>
      </c>
      <c r="C27" s="83"/>
      <c r="D27" s="75"/>
    </row>
    <row r="28" spans="1:4" ht="15.75">
      <c r="A28" s="79">
        <v>46061</v>
      </c>
      <c r="B28" s="80" t="s">
        <v>251</v>
      </c>
      <c r="C28" s="83"/>
      <c r="D28" s="75"/>
    </row>
    <row r="29" spans="1:4" ht="15.75" thickBot="1">
      <c r="A29" s="83"/>
      <c r="B29" s="82" t="s">
        <v>275</v>
      </c>
      <c r="C29" s="84"/>
      <c r="D29" s="75"/>
    </row>
    <row r="30" spans="1:4" ht="15.75">
      <c r="A30" s="76" t="s">
        <v>278</v>
      </c>
      <c r="B30" s="80" t="s">
        <v>248</v>
      </c>
      <c r="C30" s="156" t="s">
        <v>284</v>
      </c>
      <c r="D30" s="155"/>
    </row>
    <row r="31" spans="1:4">
      <c r="A31" s="77"/>
      <c r="B31" s="81" t="s">
        <v>279</v>
      </c>
      <c r="C31" s="157"/>
      <c r="D31" s="155"/>
    </row>
    <row r="32" spans="1:4">
      <c r="A32" s="78" t="s">
        <v>246</v>
      </c>
      <c r="B32" s="81" t="s">
        <v>280</v>
      </c>
      <c r="C32" s="157"/>
      <c r="D32" s="155"/>
    </row>
    <row r="33" spans="1:4" ht="25.5">
      <c r="A33" s="79">
        <v>46062</v>
      </c>
      <c r="B33" s="81" t="s">
        <v>281</v>
      </c>
      <c r="C33" s="157"/>
      <c r="D33" s="155"/>
    </row>
    <row r="34" spans="1:4" ht="15.75">
      <c r="A34" s="78" t="s">
        <v>247</v>
      </c>
      <c r="B34" s="80"/>
      <c r="C34" s="157"/>
      <c r="D34" s="155"/>
    </row>
    <row r="35" spans="1:4" ht="15.75">
      <c r="A35" s="79">
        <v>46068</v>
      </c>
      <c r="B35" s="80" t="s">
        <v>251</v>
      </c>
      <c r="C35" s="157"/>
      <c r="D35" s="75"/>
    </row>
    <row r="36" spans="1:4">
      <c r="A36" s="83"/>
      <c r="B36" s="81" t="s">
        <v>282</v>
      </c>
      <c r="C36" s="157"/>
      <c r="D36" s="75"/>
    </row>
    <row r="37" spans="1:4" ht="15.75" thickBot="1">
      <c r="A37" s="83"/>
      <c r="B37" s="82" t="s">
        <v>283</v>
      </c>
      <c r="C37" s="158"/>
      <c r="D37" s="75"/>
    </row>
    <row r="38" spans="1:4" ht="15.75">
      <c r="A38" s="76" t="s">
        <v>285</v>
      </c>
      <c r="B38" s="80" t="s">
        <v>248</v>
      </c>
      <c r="C38" s="81" t="s">
        <v>259</v>
      </c>
      <c r="D38" s="155"/>
    </row>
    <row r="39" spans="1:4">
      <c r="A39" s="77"/>
      <c r="B39" s="81" t="s">
        <v>255</v>
      </c>
      <c r="C39" s="81"/>
      <c r="D39" s="155"/>
    </row>
    <row r="40" spans="1:4" ht="25.5">
      <c r="A40" s="78" t="s">
        <v>246</v>
      </c>
      <c r="B40" s="81" t="s">
        <v>286</v>
      </c>
      <c r="C40" s="81" t="s">
        <v>269</v>
      </c>
      <c r="D40" s="155"/>
    </row>
    <row r="41" spans="1:4" ht="25.5">
      <c r="A41" s="79">
        <v>46069</v>
      </c>
      <c r="B41" s="80" t="s">
        <v>287</v>
      </c>
      <c r="C41" s="81" t="s">
        <v>292</v>
      </c>
      <c r="D41" s="155"/>
    </row>
    <row r="42" spans="1:4" ht="28.5">
      <c r="A42" s="78" t="s">
        <v>247</v>
      </c>
      <c r="B42" s="80" t="s">
        <v>288</v>
      </c>
      <c r="C42" s="83"/>
      <c r="D42" s="155"/>
    </row>
    <row r="43" spans="1:4">
      <c r="A43" s="79">
        <v>46075</v>
      </c>
      <c r="B43" s="81" t="s">
        <v>289</v>
      </c>
      <c r="C43" s="83"/>
      <c r="D43" s="155"/>
    </row>
    <row r="44" spans="1:4" ht="15.75">
      <c r="A44" s="83"/>
      <c r="B44" s="80" t="s">
        <v>251</v>
      </c>
      <c r="C44" s="83"/>
      <c r="D44" s="155"/>
    </row>
    <row r="45" spans="1:4" ht="25.5">
      <c r="A45" s="83"/>
      <c r="B45" s="81" t="s">
        <v>290</v>
      </c>
      <c r="C45" s="83"/>
      <c r="D45" s="155"/>
    </row>
    <row r="46" spans="1:4" ht="25.5">
      <c r="A46" s="83"/>
      <c r="B46" s="81" t="s">
        <v>291</v>
      </c>
      <c r="C46" s="83"/>
      <c r="D46" s="75"/>
    </row>
    <row r="47" spans="1:4">
      <c r="A47" s="83"/>
      <c r="B47" s="81"/>
      <c r="C47" s="83"/>
      <c r="D47" s="75"/>
    </row>
    <row r="48" spans="1:4" ht="15.75" thickBot="1">
      <c r="A48" s="83"/>
      <c r="B48" s="82"/>
      <c r="C48" s="84"/>
      <c r="D48" s="75"/>
    </row>
    <row r="49" spans="1:4" ht="41.25">
      <c r="A49" s="76" t="s">
        <v>293</v>
      </c>
      <c r="B49" s="80" t="s">
        <v>294</v>
      </c>
      <c r="C49" s="81" t="s">
        <v>296</v>
      </c>
      <c r="D49" s="155"/>
    </row>
    <row r="50" spans="1:4" ht="54">
      <c r="A50" s="77"/>
      <c r="B50" s="80" t="s">
        <v>295</v>
      </c>
      <c r="C50" s="81"/>
      <c r="D50" s="155"/>
    </row>
    <row r="51" spans="1:4" ht="25.5">
      <c r="A51" s="78" t="s">
        <v>246</v>
      </c>
      <c r="B51" s="83"/>
      <c r="C51" s="81" t="s">
        <v>297</v>
      </c>
      <c r="D51" s="155"/>
    </row>
    <row r="52" spans="1:4">
      <c r="A52" s="79">
        <v>46076</v>
      </c>
      <c r="B52" s="83"/>
      <c r="C52" s="83"/>
      <c r="D52" s="75"/>
    </row>
    <row r="53" spans="1:4">
      <c r="A53" s="78" t="s">
        <v>247</v>
      </c>
      <c r="B53" s="83"/>
      <c r="C53" s="83"/>
      <c r="D53" s="75"/>
    </row>
    <row r="54" spans="1:4" ht="15.75" thickBot="1">
      <c r="A54" s="79">
        <v>46082</v>
      </c>
      <c r="B54" s="84"/>
      <c r="C54" s="84"/>
      <c r="D54" s="75"/>
    </row>
    <row r="55" spans="1:4" ht="15.75">
      <c r="A55" s="76" t="s">
        <v>298</v>
      </c>
      <c r="B55" s="80" t="s">
        <v>248</v>
      </c>
      <c r="C55" s="156" t="s">
        <v>303</v>
      </c>
      <c r="D55" s="155"/>
    </row>
    <row r="56" spans="1:4" ht="25.5">
      <c r="A56" s="77"/>
      <c r="B56" s="81" t="s">
        <v>299</v>
      </c>
      <c r="C56" s="157"/>
      <c r="D56" s="155"/>
    </row>
    <row r="57" spans="1:4">
      <c r="A57" s="78" t="s">
        <v>246</v>
      </c>
      <c r="B57" s="81" t="s">
        <v>300</v>
      </c>
      <c r="C57" s="157"/>
      <c r="D57" s="155"/>
    </row>
    <row r="58" spans="1:4" ht="15.75">
      <c r="A58" s="79">
        <v>46083</v>
      </c>
      <c r="B58" s="80" t="s">
        <v>263</v>
      </c>
      <c r="C58" s="157"/>
      <c r="D58" s="155"/>
    </row>
    <row r="59" spans="1:4" ht="25.5">
      <c r="A59" s="78" t="s">
        <v>247</v>
      </c>
      <c r="B59" s="81" t="s">
        <v>301</v>
      </c>
      <c r="C59" s="157"/>
      <c r="D59" s="75"/>
    </row>
    <row r="60" spans="1:4" ht="15.75">
      <c r="A60" s="79">
        <v>46089</v>
      </c>
      <c r="B60" s="80" t="s">
        <v>251</v>
      </c>
      <c r="C60" s="157"/>
      <c r="D60" s="75"/>
    </row>
    <row r="61" spans="1:4" ht="39" thickBot="1">
      <c r="A61" s="83"/>
      <c r="B61" s="82" t="s">
        <v>302</v>
      </c>
      <c r="C61" s="158"/>
      <c r="D61" s="75"/>
    </row>
    <row r="62" spans="1:4" ht="15.75">
      <c r="A62" s="76" t="s">
        <v>304</v>
      </c>
      <c r="B62" s="80" t="s">
        <v>248</v>
      </c>
      <c r="C62" s="156" t="s">
        <v>310</v>
      </c>
      <c r="D62" s="155"/>
    </row>
    <row r="63" spans="1:4" ht="38.25">
      <c r="A63" s="77"/>
      <c r="B63" s="81" t="s">
        <v>305</v>
      </c>
      <c r="C63" s="157"/>
      <c r="D63" s="155"/>
    </row>
    <row r="64" spans="1:4" ht="15.75">
      <c r="A64" s="78" t="s">
        <v>246</v>
      </c>
      <c r="B64" s="80" t="s">
        <v>263</v>
      </c>
      <c r="C64" s="157"/>
      <c r="D64" s="155"/>
    </row>
    <row r="65" spans="1:4">
      <c r="A65" s="79">
        <v>46090</v>
      </c>
      <c r="B65" s="81" t="s">
        <v>306</v>
      </c>
      <c r="C65" s="157"/>
      <c r="D65" s="155"/>
    </row>
    <row r="66" spans="1:4" ht="15.75">
      <c r="A66" s="78" t="s">
        <v>247</v>
      </c>
      <c r="B66" s="80" t="s">
        <v>251</v>
      </c>
      <c r="C66" s="157"/>
      <c r="D66" s="155"/>
    </row>
    <row r="67" spans="1:4">
      <c r="A67" s="79">
        <v>46096</v>
      </c>
      <c r="B67" s="81" t="s">
        <v>307</v>
      </c>
      <c r="C67" s="157"/>
      <c r="D67" s="155"/>
    </row>
    <row r="68" spans="1:4" ht="25.5">
      <c r="A68" s="83"/>
      <c r="B68" s="81" t="s">
        <v>308</v>
      </c>
      <c r="C68" s="157"/>
      <c r="D68" s="155"/>
    </row>
    <row r="69" spans="1:4">
      <c r="A69" s="83"/>
      <c r="B69" s="85"/>
      <c r="C69" s="157"/>
      <c r="D69" s="75"/>
    </row>
    <row r="70" spans="1:4" ht="25.5">
      <c r="A70" s="83"/>
      <c r="B70" s="81" t="s">
        <v>309</v>
      </c>
      <c r="C70" s="157"/>
      <c r="D70" s="75"/>
    </row>
    <row r="71" spans="1:4" ht="15.75" thickBot="1">
      <c r="A71" s="83"/>
      <c r="B71" s="82"/>
      <c r="C71" s="158"/>
      <c r="D71" s="75"/>
    </row>
    <row r="72" spans="1:4" ht="15.75">
      <c r="A72" s="76" t="s">
        <v>311</v>
      </c>
      <c r="B72" s="80" t="s">
        <v>248</v>
      </c>
      <c r="C72" s="156" t="s">
        <v>313</v>
      </c>
      <c r="D72" s="155"/>
    </row>
    <row r="73" spans="1:4" ht="25.5">
      <c r="A73" s="77"/>
      <c r="B73" s="81" t="s">
        <v>312</v>
      </c>
      <c r="C73" s="157"/>
      <c r="D73" s="155"/>
    </row>
    <row r="74" spans="1:4" ht="15.75">
      <c r="A74" s="78" t="s">
        <v>246</v>
      </c>
      <c r="B74" s="80"/>
      <c r="C74" s="157"/>
      <c r="D74" s="155"/>
    </row>
    <row r="75" spans="1:4" ht="15.75">
      <c r="A75" s="79">
        <v>46097</v>
      </c>
      <c r="B75" s="80" t="s">
        <v>251</v>
      </c>
      <c r="C75" s="157"/>
      <c r="D75" s="75"/>
    </row>
    <row r="76" spans="1:4">
      <c r="A76" s="78" t="s">
        <v>247</v>
      </c>
      <c r="B76" s="81" t="s">
        <v>82</v>
      </c>
      <c r="C76" s="157"/>
      <c r="D76" s="75"/>
    </row>
    <row r="77" spans="1:4" ht="15.75" thickBot="1">
      <c r="A77" s="79">
        <v>46103</v>
      </c>
      <c r="B77" s="82"/>
      <c r="C77" s="158"/>
      <c r="D77" s="75"/>
    </row>
    <row r="78" spans="1:4" ht="15.75">
      <c r="A78" s="76" t="s">
        <v>314</v>
      </c>
      <c r="B78" s="80" t="s">
        <v>248</v>
      </c>
      <c r="C78" s="156" t="s">
        <v>319</v>
      </c>
      <c r="D78" s="155"/>
    </row>
    <row r="79" spans="1:4">
      <c r="A79" s="77"/>
      <c r="B79" s="81" t="s">
        <v>315</v>
      </c>
      <c r="C79" s="157"/>
      <c r="D79" s="155"/>
    </row>
    <row r="80" spans="1:4" ht="15.75">
      <c r="A80" s="78" t="s">
        <v>246</v>
      </c>
      <c r="B80" s="80" t="s">
        <v>287</v>
      </c>
      <c r="C80" s="157"/>
      <c r="D80" s="155"/>
    </row>
    <row r="81" spans="1:4" ht="28.5">
      <c r="A81" s="79">
        <v>46104</v>
      </c>
      <c r="B81" s="80" t="s">
        <v>316</v>
      </c>
      <c r="C81" s="157"/>
      <c r="D81" s="155"/>
    </row>
    <row r="82" spans="1:4">
      <c r="A82" s="78" t="s">
        <v>247</v>
      </c>
      <c r="B82" s="81" t="s">
        <v>317</v>
      </c>
      <c r="C82" s="157"/>
      <c r="D82" s="155"/>
    </row>
    <row r="83" spans="1:4" ht="15.75">
      <c r="A83" s="79">
        <v>46110</v>
      </c>
      <c r="B83" s="80" t="s">
        <v>251</v>
      </c>
      <c r="C83" s="157"/>
      <c r="D83" s="75"/>
    </row>
    <row r="84" spans="1:4">
      <c r="A84" s="83"/>
      <c r="B84" s="81" t="s">
        <v>318</v>
      </c>
      <c r="C84" s="157"/>
      <c r="D84" s="75"/>
    </row>
    <row r="85" spans="1:4" ht="15.75" thickBot="1">
      <c r="A85" s="83"/>
      <c r="B85" s="82"/>
      <c r="C85" s="158"/>
      <c r="D85" s="75"/>
    </row>
    <row r="86" spans="1:4" ht="15.75">
      <c r="A86" s="76" t="s">
        <v>320</v>
      </c>
      <c r="B86" s="159" t="s">
        <v>320</v>
      </c>
      <c r="C86" s="156" t="s">
        <v>320</v>
      </c>
      <c r="D86" s="155"/>
    </row>
    <row r="87" spans="1:4">
      <c r="A87" s="77"/>
      <c r="B87" s="160"/>
      <c r="C87" s="157"/>
      <c r="D87" s="155"/>
    </row>
    <row r="88" spans="1:4">
      <c r="A88" s="78" t="s">
        <v>246</v>
      </c>
      <c r="B88" s="160"/>
      <c r="C88" s="157"/>
      <c r="D88" s="155"/>
    </row>
    <row r="89" spans="1:4">
      <c r="A89" s="79">
        <v>46111</v>
      </c>
      <c r="B89" s="160"/>
      <c r="C89" s="157"/>
      <c r="D89" s="75"/>
    </row>
    <row r="90" spans="1:4">
      <c r="A90" s="78" t="s">
        <v>247</v>
      </c>
      <c r="B90" s="160"/>
      <c r="C90" s="157"/>
      <c r="D90" s="75"/>
    </row>
    <row r="91" spans="1:4" ht="15.75" thickBot="1">
      <c r="A91" s="79">
        <v>46117</v>
      </c>
      <c r="B91" s="161"/>
      <c r="C91" s="158"/>
      <c r="D91" s="75"/>
    </row>
    <row r="92" spans="1:4" ht="15.75">
      <c r="A92" s="76" t="s">
        <v>321</v>
      </c>
      <c r="B92" s="80" t="s">
        <v>248</v>
      </c>
      <c r="C92" s="156" t="s">
        <v>323</v>
      </c>
      <c r="D92" s="155"/>
    </row>
    <row r="93" spans="1:4" ht="25.5">
      <c r="A93" s="77"/>
      <c r="B93" s="81" t="s">
        <v>322</v>
      </c>
      <c r="C93" s="157"/>
      <c r="D93" s="155"/>
    </row>
    <row r="94" spans="1:4" ht="15.75">
      <c r="A94" s="78" t="s">
        <v>246</v>
      </c>
      <c r="B94" s="80"/>
      <c r="C94" s="157"/>
      <c r="D94" s="155"/>
    </row>
    <row r="95" spans="1:4" ht="15.75">
      <c r="A95" s="79">
        <v>46118</v>
      </c>
      <c r="B95" s="80" t="s">
        <v>251</v>
      </c>
      <c r="C95" s="157"/>
      <c r="D95" s="75"/>
    </row>
    <row r="96" spans="1:4" ht="25.5">
      <c r="A96" s="78" t="s">
        <v>247</v>
      </c>
      <c r="B96" s="81" t="s">
        <v>115</v>
      </c>
      <c r="C96" s="157"/>
      <c r="D96" s="75"/>
    </row>
    <row r="97" spans="1:4" ht="15.75" thickBot="1">
      <c r="A97" s="79">
        <v>46124</v>
      </c>
      <c r="B97" s="82"/>
      <c r="C97" s="158"/>
      <c r="D97" s="75"/>
    </row>
    <row r="98" spans="1:4" ht="15.75">
      <c r="A98" s="76" t="s">
        <v>324</v>
      </c>
      <c r="B98" s="80" t="s">
        <v>248</v>
      </c>
      <c r="C98" s="156" t="s">
        <v>328</v>
      </c>
      <c r="D98" s="155"/>
    </row>
    <row r="99" spans="1:4" ht="25.5">
      <c r="A99" s="77"/>
      <c r="B99" s="81" t="s">
        <v>325</v>
      </c>
      <c r="C99" s="157"/>
      <c r="D99" s="155"/>
    </row>
    <row r="100" spans="1:4" ht="15.75">
      <c r="A100" s="78" t="s">
        <v>246</v>
      </c>
      <c r="B100" s="80" t="s">
        <v>287</v>
      </c>
      <c r="C100" s="157"/>
      <c r="D100" s="155"/>
    </row>
    <row r="101" spans="1:4" ht="15.75">
      <c r="A101" s="79">
        <v>46125</v>
      </c>
      <c r="B101" s="80" t="s">
        <v>326</v>
      </c>
      <c r="C101" s="157"/>
      <c r="D101" s="155"/>
    </row>
    <row r="102" spans="1:4">
      <c r="A102" s="78" t="s">
        <v>247</v>
      </c>
      <c r="B102" s="81" t="s">
        <v>327</v>
      </c>
      <c r="C102" s="157"/>
      <c r="D102" s="75"/>
    </row>
    <row r="103" spans="1:4" ht="15.75">
      <c r="A103" s="79">
        <v>46131</v>
      </c>
      <c r="B103" s="80" t="s">
        <v>251</v>
      </c>
      <c r="C103" s="157"/>
      <c r="D103" s="75"/>
    </row>
    <row r="104" spans="1:4" ht="26.25" thickBot="1">
      <c r="A104" s="83"/>
      <c r="B104" s="82" t="s">
        <v>126</v>
      </c>
      <c r="C104" s="158"/>
      <c r="D104" s="75"/>
    </row>
    <row r="105" spans="1:4" ht="15.75">
      <c r="A105" s="76" t="s">
        <v>329</v>
      </c>
      <c r="B105" s="80" t="s">
        <v>248</v>
      </c>
      <c r="C105" s="156" t="s">
        <v>332</v>
      </c>
      <c r="D105" s="155"/>
    </row>
    <row r="106" spans="1:4">
      <c r="A106" s="77"/>
      <c r="B106" s="81" t="s">
        <v>330</v>
      </c>
      <c r="C106" s="157"/>
      <c r="D106" s="155"/>
    </row>
    <row r="107" spans="1:4" ht="15.75">
      <c r="A107" s="78" t="s">
        <v>246</v>
      </c>
      <c r="B107" s="80"/>
      <c r="C107" s="157"/>
      <c r="D107" s="155"/>
    </row>
    <row r="108" spans="1:4" ht="15.75">
      <c r="A108" s="79">
        <v>46132</v>
      </c>
      <c r="B108" s="80" t="s">
        <v>251</v>
      </c>
      <c r="C108" s="157"/>
      <c r="D108" s="75"/>
    </row>
    <row r="109" spans="1:4" ht="25.5">
      <c r="A109" s="78" t="s">
        <v>247</v>
      </c>
      <c r="B109" s="81" t="s">
        <v>331</v>
      </c>
      <c r="C109" s="157"/>
      <c r="D109" s="75"/>
    </row>
    <row r="110" spans="1:4" ht="15.75" thickBot="1">
      <c r="A110" s="79">
        <v>46138</v>
      </c>
      <c r="B110" s="86"/>
      <c r="C110" s="158"/>
      <c r="D110" s="75"/>
    </row>
    <row r="111" spans="1:4" ht="15.75">
      <c r="A111" s="76" t="s">
        <v>333</v>
      </c>
      <c r="B111" s="80" t="s">
        <v>248</v>
      </c>
      <c r="C111" s="156" t="s">
        <v>337</v>
      </c>
      <c r="D111" s="155"/>
    </row>
    <row r="112" spans="1:4">
      <c r="A112" s="77"/>
      <c r="B112" s="81" t="s">
        <v>334</v>
      </c>
      <c r="C112" s="157"/>
      <c r="D112" s="155"/>
    </row>
    <row r="113" spans="1:4" ht="15.75">
      <c r="A113" s="78" t="s">
        <v>246</v>
      </c>
      <c r="B113" s="80" t="s">
        <v>287</v>
      </c>
      <c r="C113" s="157"/>
      <c r="D113" s="155"/>
    </row>
    <row r="114" spans="1:4">
      <c r="A114" s="79">
        <v>46139</v>
      </c>
      <c r="B114" s="81" t="s">
        <v>335</v>
      </c>
      <c r="C114" s="157"/>
      <c r="D114" s="155"/>
    </row>
    <row r="115" spans="1:4">
      <c r="A115" s="78" t="s">
        <v>247</v>
      </c>
      <c r="B115" s="81" t="s">
        <v>336</v>
      </c>
      <c r="C115" s="157"/>
      <c r="D115" s="155"/>
    </row>
    <row r="116" spans="1:4" ht="15.75">
      <c r="A116" s="79">
        <v>46145</v>
      </c>
      <c r="B116" s="80" t="s">
        <v>251</v>
      </c>
      <c r="C116" s="157"/>
      <c r="D116" s="75"/>
    </row>
    <row r="117" spans="1:4">
      <c r="A117" s="83"/>
      <c r="B117" s="81" t="s">
        <v>146</v>
      </c>
      <c r="C117" s="157"/>
      <c r="D117" s="75"/>
    </row>
    <row r="118" spans="1:4" ht="15.75" thickBot="1">
      <c r="A118" s="83"/>
      <c r="B118" s="82"/>
      <c r="C118" s="158"/>
      <c r="D118" s="75"/>
    </row>
    <row r="119" spans="1:4" ht="15.75">
      <c r="A119" s="76" t="s">
        <v>338</v>
      </c>
      <c r="B119" s="80" t="s">
        <v>248</v>
      </c>
      <c r="C119" s="156" t="s">
        <v>341</v>
      </c>
      <c r="D119" s="155"/>
    </row>
    <row r="120" spans="1:4" ht="25.5">
      <c r="A120" s="77"/>
      <c r="B120" s="81" t="s">
        <v>339</v>
      </c>
      <c r="C120" s="157"/>
      <c r="D120" s="155"/>
    </row>
    <row r="121" spans="1:4" ht="15.75">
      <c r="A121" s="78" t="s">
        <v>246</v>
      </c>
      <c r="B121" s="80" t="s">
        <v>251</v>
      </c>
      <c r="C121" s="157"/>
      <c r="D121" s="155"/>
    </row>
    <row r="122" spans="1:4" ht="38.25">
      <c r="A122" s="79">
        <v>46146</v>
      </c>
      <c r="B122" s="81" t="s">
        <v>340</v>
      </c>
      <c r="C122" s="157"/>
      <c r="D122" s="75"/>
    </row>
    <row r="123" spans="1:4">
      <c r="A123" s="78" t="s">
        <v>247</v>
      </c>
      <c r="B123" s="87"/>
      <c r="C123" s="157"/>
      <c r="D123" s="75"/>
    </row>
    <row r="124" spans="1:4" ht="15.75" thickBot="1">
      <c r="A124" s="79">
        <v>46152</v>
      </c>
      <c r="B124" s="86"/>
      <c r="C124" s="158"/>
      <c r="D124" s="75"/>
    </row>
    <row r="125" spans="1:4" ht="15.75">
      <c r="A125" s="76" t="s">
        <v>342</v>
      </c>
      <c r="B125" s="80" t="s">
        <v>248</v>
      </c>
      <c r="C125" s="156" t="s">
        <v>209</v>
      </c>
      <c r="D125" s="72"/>
    </row>
    <row r="126" spans="1:4">
      <c r="A126" s="77"/>
      <c r="B126" s="81" t="s">
        <v>343</v>
      </c>
      <c r="C126" s="157"/>
      <c r="D126" s="72"/>
    </row>
    <row r="127" spans="1:4" ht="15.75">
      <c r="A127" s="78" t="s">
        <v>246</v>
      </c>
      <c r="B127" s="80" t="s">
        <v>251</v>
      </c>
      <c r="C127" s="157"/>
    </row>
    <row r="128" spans="1:4">
      <c r="A128" s="79">
        <v>46153</v>
      </c>
      <c r="B128" s="81" t="s">
        <v>173</v>
      </c>
      <c r="C128" s="157"/>
    </row>
    <row r="129" spans="1:3">
      <c r="A129" s="78" t="s">
        <v>247</v>
      </c>
      <c r="B129" s="83"/>
      <c r="C129" s="157"/>
    </row>
    <row r="130" spans="1:3" ht="15.75" thickBot="1">
      <c r="A130" s="79">
        <v>46159</v>
      </c>
      <c r="B130" s="84"/>
      <c r="C130" s="158"/>
    </row>
  </sheetData>
  <mergeCells count="30">
    <mergeCell ref="C111:C118"/>
    <mergeCell ref="D111:D115"/>
    <mergeCell ref="C119:C124"/>
    <mergeCell ref="D119:D121"/>
    <mergeCell ref="C125:C130"/>
    <mergeCell ref="C92:C97"/>
    <mergeCell ref="D92:D94"/>
    <mergeCell ref="C98:C104"/>
    <mergeCell ref="D98:D101"/>
    <mergeCell ref="C105:C110"/>
    <mergeCell ref="D105:D107"/>
    <mergeCell ref="C72:C77"/>
    <mergeCell ref="D72:D74"/>
    <mergeCell ref="C78:C85"/>
    <mergeCell ref="D78:D82"/>
    <mergeCell ref="B86:B91"/>
    <mergeCell ref="C86:C91"/>
    <mergeCell ref="D86:D88"/>
    <mergeCell ref="D38:D45"/>
    <mergeCell ref="D49:D51"/>
    <mergeCell ref="C55:C61"/>
    <mergeCell ref="D55:D58"/>
    <mergeCell ref="C62:C71"/>
    <mergeCell ref="D62:D68"/>
    <mergeCell ref="D2:D4"/>
    <mergeCell ref="D8:D11"/>
    <mergeCell ref="D15:D19"/>
    <mergeCell ref="D23:D26"/>
    <mergeCell ref="C30:C37"/>
    <mergeCell ref="D30:D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44F28-8AF3-4667-A5AE-20F89CDED0B9}">
  <sheetPr>
    <pageSetUpPr fitToPage="1"/>
  </sheetPr>
  <dimension ref="A1:R142"/>
  <sheetViews>
    <sheetView zoomScale="86" zoomScaleNormal="70" workbookViewId="0">
      <pane xSplit="1" ySplit="1" topLeftCell="B112" activePane="bottomRight" state="frozen"/>
      <selection pane="topRight" activeCell="B1" sqref="B1"/>
      <selection pane="bottomLeft" activeCell="A2" sqref="A2"/>
      <selection pane="bottomRight" activeCell="E133" sqref="E133"/>
    </sheetView>
  </sheetViews>
  <sheetFormatPr defaultColWidth="8.85546875" defaultRowHeight="18.75"/>
  <cols>
    <col min="1" max="1" width="13.7109375" style="34" customWidth="1"/>
    <col min="2" max="3" width="26.42578125" customWidth="1"/>
    <col min="4" max="7" width="26.42578125" style="8" customWidth="1"/>
    <col min="8" max="8" width="24.42578125" style="8" customWidth="1"/>
    <col min="9" max="9" width="24.5703125" style="8" customWidth="1"/>
    <col min="11" max="11" width="27.5703125" style="8" hidden="1" customWidth="1"/>
    <col min="12" max="12" width="26.85546875" style="41" hidden="1" customWidth="1"/>
    <col min="13" max="13" width="26.140625" customWidth="1"/>
    <col min="14" max="14" width="50.85546875" customWidth="1"/>
    <col min="15" max="15" width="11.7109375" bestFit="1" customWidth="1"/>
  </cols>
  <sheetData>
    <row r="1" spans="1:15" s="3" customFormat="1" ht="42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K1" s="4"/>
      <c r="L1" s="40"/>
    </row>
    <row r="2" spans="1:15" ht="15.75" thickBot="1">
      <c r="A2" s="140">
        <v>1</v>
      </c>
      <c r="B2" s="5"/>
      <c r="C2" s="6">
        <v>45144</v>
      </c>
      <c r="D2" s="6">
        <v>45145</v>
      </c>
      <c r="E2" s="6">
        <f>D2+1</f>
        <v>45146</v>
      </c>
      <c r="F2" s="6">
        <f t="shared" ref="F2:H2" si="0">E2+1</f>
        <v>45147</v>
      </c>
      <c r="G2" s="6">
        <f t="shared" si="0"/>
        <v>45148</v>
      </c>
      <c r="H2" s="6">
        <f t="shared" si="0"/>
        <v>45149</v>
      </c>
      <c r="I2" s="7"/>
    </row>
    <row r="3" spans="1:15" ht="15">
      <c r="A3" s="142"/>
      <c r="B3" s="43" t="s">
        <v>9</v>
      </c>
      <c r="C3" s="35"/>
      <c r="D3" s="35"/>
      <c r="E3" s="35"/>
      <c r="F3" s="35" t="s">
        <v>10</v>
      </c>
      <c r="G3" s="35"/>
      <c r="H3" s="35"/>
      <c r="I3" s="9"/>
      <c r="K3" s="10"/>
      <c r="L3" s="42"/>
      <c r="O3" s="11"/>
    </row>
    <row r="4" spans="1:15" ht="36.75" thickBot="1">
      <c r="A4" s="142"/>
      <c r="B4" s="44" t="s">
        <v>11</v>
      </c>
      <c r="C4" s="12"/>
      <c r="D4" s="12"/>
      <c r="E4" s="63" t="s">
        <v>12</v>
      </c>
      <c r="F4" s="12"/>
      <c r="G4" s="63" t="s">
        <v>13</v>
      </c>
      <c r="H4" s="12"/>
      <c r="I4" s="9"/>
      <c r="K4" s="10"/>
      <c r="L4" s="42"/>
      <c r="M4" s="15"/>
      <c r="N4" s="39"/>
    </row>
    <row r="5" spans="1:15" ht="24">
      <c r="A5" s="142"/>
      <c r="B5" s="45" t="s">
        <v>14</v>
      </c>
      <c r="C5" s="13"/>
      <c r="D5" s="13" t="s">
        <v>177</v>
      </c>
      <c r="E5" s="13"/>
      <c r="F5" s="13" t="s">
        <v>177</v>
      </c>
      <c r="G5" s="13"/>
      <c r="H5" s="13"/>
      <c r="I5" s="14"/>
      <c r="K5" s="10"/>
      <c r="L5" s="42"/>
      <c r="N5" s="39"/>
    </row>
    <row r="6" spans="1:15" ht="15">
      <c r="A6" s="142"/>
      <c r="B6" s="46" t="s">
        <v>15</v>
      </c>
      <c r="C6" s="15"/>
      <c r="D6" s="15"/>
      <c r="E6" s="10"/>
      <c r="F6" s="61" t="s">
        <v>16</v>
      </c>
      <c r="G6" s="15"/>
      <c r="H6" s="10"/>
      <c r="I6" s="9"/>
      <c r="J6" s="16"/>
      <c r="K6" s="10"/>
      <c r="L6" s="42"/>
      <c r="N6" s="39"/>
    </row>
    <row r="7" spans="1:15" ht="48.75">
      <c r="A7" s="142"/>
      <c r="B7" s="46" t="s">
        <v>17</v>
      </c>
      <c r="C7" s="15"/>
      <c r="D7" s="15"/>
      <c r="E7" s="10"/>
      <c r="F7" s="10"/>
      <c r="G7" s="15"/>
      <c r="H7" s="61" t="s">
        <v>18</v>
      </c>
      <c r="I7" s="25"/>
      <c r="K7" s="10"/>
      <c r="L7" s="42"/>
      <c r="N7" s="39"/>
    </row>
    <row r="8" spans="1:15" ht="15.75" thickBot="1">
      <c r="A8" s="142"/>
      <c r="B8" s="46" t="s">
        <v>19</v>
      </c>
      <c r="C8" s="15"/>
      <c r="D8" s="15"/>
      <c r="E8" s="15"/>
      <c r="F8" s="15"/>
      <c r="G8" s="15"/>
      <c r="H8" s="10"/>
      <c r="I8" s="9"/>
      <c r="K8" s="10"/>
      <c r="L8" s="42"/>
      <c r="N8" s="39"/>
    </row>
    <row r="9" spans="1:15" ht="15.75" hidden="1" thickBot="1">
      <c r="A9" s="143"/>
      <c r="B9" s="47"/>
      <c r="C9" s="17"/>
      <c r="D9" s="17"/>
      <c r="E9" s="17"/>
      <c r="F9" s="17"/>
      <c r="G9" s="17"/>
      <c r="I9" s="17"/>
      <c r="K9" s="10"/>
      <c r="L9" s="42"/>
      <c r="N9" s="39"/>
    </row>
    <row r="10" spans="1:15" ht="15.75" thickBot="1">
      <c r="A10" s="140">
        <v>2</v>
      </c>
      <c r="B10" s="6"/>
      <c r="C10" s="6">
        <f>C2+7</f>
        <v>45151</v>
      </c>
      <c r="D10" s="6">
        <f>D2+7</f>
        <v>45152</v>
      </c>
      <c r="E10" s="6">
        <f t="shared" ref="E10:H10" si="1">E2+7</f>
        <v>45153</v>
      </c>
      <c r="F10" s="6">
        <f t="shared" si="1"/>
        <v>45154</v>
      </c>
      <c r="G10" s="6">
        <f t="shared" si="1"/>
        <v>45155</v>
      </c>
      <c r="H10" s="6">
        <f t="shared" si="1"/>
        <v>45156</v>
      </c>
      <c r="I10" s="19"/>
      <c r="K10" s="10"/>
      <c r="L10" s="42"/>
      <c r="N10" s="39"/>
    </row>
    <row r="11" spans="1:15" ht="15">
      <c r="A11" s="142"/>
      <c r="B11" s="48" t="s">
        <v>9</v>
      </c>
      <c r="C11" s="35"/>
      <c r="D11" s="35" t="s">
        <v>21</v>
      </c>
      <c r="E11" s="35"/>
      <c r="F11" s="35" t="s">
        <v>22</v>
      </c>
      <c r="G11" s="35"/>
      <c r="H11" s="35"/>
      <c r="I11" s="20"/>
      <c r="K11" s="10"/>
      <c r="L11" s="42"/>
      <c r="N11" s="39"/>
    </row>
    <row r="12" spans="1:15" ht="24">
      <c r="A12" s="142"/>
      <c r="B12" s="49" t="s">
        <v>11</v>
      </c>
      <c r="C12" s="22"/>
      <c r="D12" s="22"/>
      <c r="E12" s="62" t="s">
        <v>23</v>
      </c>
      <c r="F12" s="22"/>
      <c r="G12" s="62" t="s">
        <v>24</v>
      </c>
      <c r="H12" s="22"/>
      <c r="I12" s="23"/>
      <c r="K12" s="10"/>
      <c r="L12" s="42"/>
      <c r="N12" s="39"/>
    </row>
    <row r="13" spans="1:15" ht="60">
      <c r="A13" s="142"/>
      <c r="B13" s="50" t="s">
        <v>14</v>
      </c>
      <c r="C13" s="24"/>
      <c r="D13" s="62" t="s">
        <v>178</v>
      </c>
      <c r="E13" s="24"/>
      <c r="F13" s="62" t="s">
        <v>178</v>
      </c>
      <c r="G13" s="24"/>
      <c r="H13" s="24"/>
      <c r="I13" s="25"/>
      <c r="K13" s="10"/>
      <c r="L13" s="42"/>
      <c r="M13" s="8" t="s">
        <v>179</v>
      </c>
      <c r="N13" s="39"/>
    </row>
    <row r="14" spans="1:15" ht="15">
      <c r="A14" s="142"/>
      <c r="B14" s="46" t="s">
        <v>15</v>
      </c>
      <c r="C14" s="15"/>
      <c r="D14" s="62" t="s">
        <v>25</v>
      </c>
      <c r="E14" s="10"/>
      <c r="F14" s="62" t="s">
        <v>26</v>
      </c>
      <c r="G14" s="15"/>
      <c r="H14" s="10"/>
      <c r="I14" s="23"/>
      <c r="K14" s="10"/>
      <c r="L14" s="42"/>
      <c r="N14" s="39"/>
    </row>
    <row r="15" spans="1:15" ht="48">
      <c r="A15" s="142"/>
      <c r="B15" s="46" t="s">
        <v>17</v>
      </c>
      <c r="C15" s="15"/>
      <c r="D15" s="15"/>
      <c r="E15" s="61" t="s">
        <v>27</v>
      </c>
      <c r="F15" s="15"/>
      <c r="G15" s="15"/>
      <c r="H15" s="62" t="s">
        <v>180</v>
      </c>
      <c r="I15" s="25"/>
      <c r="K15" s="10"/>
      <c r="L15" s="42"/>
      <c r="N15" s="39"/>
    </row>
    <row r="16" spans="1:15" ht="15.75" thickBot="1">
      <c r="A16" s="142"/>
      <c r="B16" s="46" t="s">
        <v>19</v>
      </c>
      <c r="C16" s="10"/>
      <c r="D16" s="10"/>
      <c r="E16" s="10"/>
      <c r="F16" s="15"/>
      <c r="G16" s="15"/>
      <c r="H16" s="15"/>
      <c r="I16" s="25"/>
      <c r="K16" s="10"/>
      <c r="L16" s="42"/>
    </row>
    <row r="17" spans="1:13" ht="15.75" hidden="1" thickBot="1">
      <c r="A17" s="143"/>
      <c r="B17" s="47"/>
      <c r="C17" s="17"/>
      <c r="D17" s="17"/>
      <c r="E17" s="17"/>
      <c r="G17" s="17"/>
      <c r="H17" s="17"/>
      <c r="I17" s="26"/>
      <c r="K17" s="10"/>
      <c r="L17" s="42"/>
    </row>
    <row r="18" spans="1:13" ht="15.75" thickBot="1">
      <c r="A18" s="140">
        <v>3</v>
      </c>
      <c r="B18" s="51"/>
      <c r="C18" s="6">
        <f>C10+7</f>
        <v>45158</v>
      </c>
      <c r="D18" s="6">
        <f>D10+7</f>
        <v>45159</v>
      </c>
      <c r="E18" s="6">
        <f t="shared" ref="E18:H18" si="2">E10+7</f>
        <v>45160</v>
      </c>
      <c r="F18" s="6">
        <f t="shared" si="2"/>
        <v>45161</v>
      </c>
      <c r="G18" s="6">
        <f t="shared" si="2"/>
        <v>45162</v>
      </c>
      <c r="H18" s="6">
        <f t="shared" si="2"/>
        <v>45163</v>
      </c>
      <c r="I18" s="19"/>
      <c r="K18" s="10"/>
      <c r="L18" s="42"/>
    </row>
    <row r="19" spans="1:13" ht="15">
      <c r="A19" s="142"/>
      <c r="B19" s="48" t="s">
        <v>9</v>
      </c>
      <c r="C19" s="35"/>
      <c r="D19" s="35" t="s">
        <v>28</v>
      </c>
      <c r="E19" s="35"/>
      <c r="F19" s="35" t="s">
        <v>29</v>
      </c>
      <c r="G19" s="35"/>
      <c r="H19" s="35"/>
      <c r="I19" s="20"/>
      <c r="K19" s="10"/>
      <c r="L19" s="42"/>
    </row>
    <row r="20" spans="1:13" ht="36">
      <c r="A20" s="142"/>
      <c r="B20" s="49" t="s">
        <v>11</v>
      </c>
      <c r="C20" s="22"/>
      <c r="D20" s="22"/>
      <c r="E20" s="62" t="s">
        <v>30</v>
      </c>
      <c r="F20" s="22"/>
      <c r="G20" s="62" t="s">
        <v>31</v>
      </c>
      <c r="H20" s="22"/>
      <c r="I20" s="23"/>
      <c r="K20" s="10"/>
      <c r="L20" s="42"/>
    </row>
    <row r="21" spans="1:13" ht="71.45" customHeight="1">
      <c r="A21" s="142"/>
      <c r="B21" s="50" t="s">
        <v>14</v>
      </c>
      <c r="C21" s="24"/>
      <c r="D21" s="24" t="s">
        <v>181</v>
      </c>
      <c r="E21" s="24"/>
      <c r="F21" s="24" t="s">
        <v>181</v>
      </c>
      <c r="G21" s="24"/>
      <c r="H21" s="24"/>
      <c r="I21" s="25"/>
      <c r="K21" s="10" t="s">
        <v>32</v>
      </c>
      <c r="L21" s="42"/>
      <c r="M21" t="s">
        <v>182</v>
      </c>
    </row>
    <row r="22" spans="1:13" ht="15">
      <c r="A22" s="142"/>
      <c r="B22" s="46" t="s">
        <v>15</v>
      </c>
      <c r="C22" s="15"/>
      <c r="D22" s="62" t="s">
        <v>33</v>
      </c>
      <c r="E22" s="10"/>
      <c r="F22" s="62" t="s">
        <v>34</v>
      </c>
      <c r="G22" s="15"/>
      <c r="H22" s="10"/>
      <c r="I22" s="25"/>
      <c r="K22" s="10"/>
      <c r="L22" s="42"/>
    </row>
    <row r="23" spans="1:13" ht="32.1" customHeight="1">
      <c r="A23" s="142"/>
      <c r="B23" s="46" t="s">
        <v>17</v>
      </c>
      <c r="C23" s="15"/>
      <c r="D23" s="15"/>
      <c r="E23" s="64" t="s">
        <v>35</v>
      </c>
      <c r="F23" s="15"/>
      <c r="G23" s="15"/>
      <c r="H23" s="64" t="s">
        <v>36</v>
      </c>
      <c r="I23" s="25"/>
      <c r="K23" s="10"/>
      <c r="L23" s="42"/>
    </row>
    <row r="24" spans="1:13" ht="15.75" thickBot="1">
      <c r="A24" s="142"/>
      <c r="B24" s="46" t="s">
        <v>19</v>
      </c>
      <c r="C24" s="10"/>
      <c r="D24" s="10"/>
      <c r="E24" s="10"/>
      <c r="F24" s="15"/>
      <c r="G24" s="15"/>
      <c r="H24" s="15"/>
      <c r="I24" s="25"/>
      <c r="K24" s="10"/>
      <c r="L24" s="42"/>
    </row>
    <row r="25" spans="1:13" ht="15.75" hidden="1" thickBot="1">
      <c r="A25" s="143"/>
      <c r="B25" s="47"/>
      <c r="C25" s="17"/>
      <c r="D25" s="17"/>
      <c r="E25" s="17"/>
      <c r="F25" s="17"/>
      <c r="G25" s="17"/>
      <c r="H25" s="26"/>
      <c r="I25" s="17"/>
      <c r="L25" s="42"/>
    </row>
    <row r="26" spans="1:13" ht="15.75" thickBot="1">
      <c r="A26" s="140">
        <v>4</v>
      </c>
      <c r="B26" s="52"/>
      <c r="C26" s="6">
        <f>C18+7</f>
        <v>45165</v>
      </c>
      <c r="D26" s="6">
        <f>D18+7</f>
        <v>45166</v>
      </c>
      <c r="E26" s="6">
        <f t="shared" ref="E26:H26" si="3">E18+7</f>
        <v>45167</v>
      </c>
      <c r="F26" s="6">
        <f t="shared" si="3"/>
        <v>45168</v>
      </c>
      <c r="G26" s="6">
        <f t="shared" si="3"/>
        <v>45169</v>
      </c>
      <c r="H26" s="6">
        <f t="shared" si="3"/>
        <v>45170</v>
      </c>
      <c r="I26" s="19"/>
      <c r="K26" s="10"/>
      <c r="L26" s="42"/>
    </row>
    <row r="27" spans="1:13" ht="15">
      <c r="A27" s="142"/>
      <c r="B27" s="48" t="s">
        <v>9</v>
      </c>
      <c r="C27" s="35"/>
      <c r="D27" s="35" t="s">
        <v>37</v>
      </c>
      <c r="E27" s="35"/>
      <c r="F27" s="35" t="s">
        <v>46</v>
      </c>
      <c r="G27" s="35"/>
      <c r="H27" s="35"/>
      <c r="I27" s="20"/>
      <c r="K27" s="10"/>
      <c r="L27" s="42"/>
    </row>
    <row r="28" spans="1:13" ht="24">
      <c r="A28" s="142"/>
      <c r="B28" s="49" t="s">
        <v>11</v>
      </c>
      <c r="C28" s="22"/>
      <c r="D28" s="22"/>
      <c r="E28" s="22" t="s">
        <v>39</v>
      </c>
      <c r="F28" s="22"/>
      <c r="G28" s="22" t="s">
        <v>49</v>
      </c>
      <c r="H28" s="22"/>
      <c r="I28" s="23"/>
      <c r="K28" s="10"/>
      <c r="L28" s="42"/>
      <c r="M28" t="s">
        <v>183</v>
      </c>
    </row>
    <row r="29" spans="1:13" ht="24">
      <c r="A29" s="142"/>
      <c r="B29" s="50" t="s">
        <v>14</v>
      </c>
      <c r="C29" s="24"/>
      <c r="D29" s="24" t="s">
        <v>184</v>
      </c>
      <c r="E29" s="24"/>
      <c r="F29" s="24" t="s">
        <v>184</v>
      </c>
      <c r="G29" s="24"/>
      <c r="H29" s="24"/>
      <c r="I29" s="25"/>
      <c r="K29" s="10"/>
      <c r="L29" s="42"/>
    </row>
    <row r="30" spans="1:13" ht="15">
      <c r="A30" s="142"/>
      <c r="B30" s="46" t="s">
        <v>15</v>
      </c>
      <c r="C30" s="15"/>
      <c r="D30" s="62" t="s">
        <v>40</v>
      </c>
      <c r="E30" s="10"/>
      <c r="F30" s="62" t="s">
        <v>51</v>
      </c>
      <c r="G30" s="15"/>
      <c r="H30" s="10"/>
      <c r="I30" s="23"/>
      <c r="K30" s="10"/>
      <c r="L30" s="42"/>
    </row>
    <row r="31" spans="1:13" ht="24">
      <c r="A31" s="142"/>
      <c r="B31" s="46" t="s">
        <v>41</v>
      </c>
      <c r="C31" s="15"/>
      <c r="D31" s="15"/>
      <c r="E31" s="64" t="s">
        <v>42</v>
      </c>
      <c r="F31" s="15"/>
      <c r="G31" s="15"/>
      <c r="H31" s="62" t="s">
        <v>43</v>
      </c>
      <c r="I31" s="25"/>
      <c r="K31" s="10"/>
      <c r="L31" s="42"/>
    </row>
    <row r="32" spans="1:13" ht="25.5" thickBot="1">
      <c r="A32" s="142"/>
      <c r="B32" s="46" t="s">
        <v>19</v>
      </c>
      <c r="C32" s="10" t="s">
        <v>44</v>
      </c>
      <c r="D32" s="10"/>
      <c r="E32" s="10" t="s">
        <v>44</v>
      </c>
      <c r="G32" s="15"/>
      <c r="H32" s="15"/>
      <c r="I32" s="25" t="s">
        <v>45</v>
      </c>
      <c r="K32" s="10"/>
      <c r="L32" s="42"/>
    </row>
    <row r="33" spans="1:16" ht="15.75" hidden="1" thickBot="1">
      <c r="A33" s="143"/>
      <c r="B33" s="47"/>
      <c r="C33" s="17"/>
      <c r="D33" s="17"/>
      <c r="E33" s="17"/>
      <c r="F33" s="17"/>
      <c r="G33" s="17"/>
      <c r="H33" s="26"/>
      <c r="I33" s="17"/>
      <c r="L33" s="42"/>
    </row>
    <row r="34" spans="1:16" ht="15.75" thickBot="1">
      <c r="A34" s="140">
        <v>5</v>
      </c>
      <c r="B34" s="6"/>
      <c r="C34" s="6">
        <f>C26+7</f>
        <v>45172</v>
      </c>
      <c r="D34" s="6">
        <f>D26+7</f>
        <v>45173</v>
      </c>
      <c r="E34" s="6">
        <f t="shared" ref="E34:H34" si="4">E26+7</f>
        <v>45174</v>
      </c>
      <c r="F34" s="6">
        <f t="shared" si="4"/>
        <v>45175</v>
      </c>
      <c r="G34" s="6">
        <f t="shared" si="4"/>
        <v>45176</v>
      </c>
      <c r="H34" s="6">
        <f t="shared" si="4"/>
        <v>45177</v>
      </c>
      <c r="I34" s="28"/>
      <c r="K34" s="10"/>
      <c r="L34" s="42"/>
    </row>
    <row r="35" spans="1:16" ht="15">
      <c r="A35" s="142"/>
      <c r="B35" s="48" t="s">
        <v>9</v>
      </c>
      <c r="C35" s="35"/>
      <c r="D35" s="35"/>
      <c r="E35" s="35"/>
      <c r="F35" s="35" t="s">
        <v>47</v>
      </c>
      <c r="G35" s="35"/>
      <c r="H35" s="35"/>
      <c r="I35" s="20"/>
      <c r="K35" s="10"/>
      <c r="L35" s="42"/>
      <c r="M35" s="60" t="s">
        <v>185</v>
      </c>
    </row>
    <row r="36" spans="1:16" ht="24">
      <c r="A36" s="142"/>
      <c r="B36" s="49" t="s">
        <v>11</v>
      </c>
      <c r="C36" s="21"/>
      <c r="D36" s="21" t="s">
        <v>48</v>
      </c>
      <c r="E36" s="64" t="s">
        <v>38</v>
      </c>
      <c r="F36" s="22"/>
      <c r="G36" s="22" t="s">
        <v>50</v>
      </c>
      <c r="H36" s="22"/>
      <c r="I36" s="23"/>
      <c r="K36" s="10"/>
      <c r="L36" s="42"/>
    </row>
    <row r="37" spans="1:16" ht="24">
      <c r="A37" s="142"/>
      <c r="B37" s="50" t="s">
        <v>14</v>
      </c>
      <c r="C37" s="21"/>
      <c r="D37" s="21" t="s">
        <v>48</v>
      </c>
      <c r="E37" s="24"/>
      <c r="F37" s="24"/>
      <c r="G37" s="24"/>
      <c r="H37" s="24"/>
      <c r="I37" s="25"/>
      <c r="K37" s="10"/>
      <c r="L37" s="42"/>
    </row>
    <row r="38" spans="1:16" ht="15">
      <c r="A38" s="142"/>
      <c r="B38" s="46" t="s">
        <v>15</v>
      </c>
      <c r="C38" s="15"/>
      <c r="E38" s="10"/>
      <c r="F38" s="62" t="s">
        <v>52</v>
      </c>
      <c r="G38" s="15"/>
      <c r="H38" s="10"/>
      <c r="I38" s="23"/>
      <c r="K38" s="10"/>
      <c r="L38" s="42"/>
    </row>
    <row r="39" spans="1:16" ht="37.5" customHeight="1">
      <c r="A39" s="142"/>
      <c r="B39" s="46" t="s">
        <v>17</v>
      </c>
      <c r="C39" s="15"/>
      <c r="D39" s="15"/>
      <c r="E39" s="27" t="s">
        <v>53</v>
      </c>
      <c r="F39" s="27"/>
      <c r="G39" s="10"/>
      <c r="H39" s="15" t="s">
        <v>54</v>
      </c>
      <c r="I39" s="25"/>
      <c r="K39" s="10"/>
      <c r="L39" s="42"/>
    </row>
    <row r="40" spans="1:16" ht="15.75" thickBot="1">
      <c r="A40" s="142"/>
      <c r="B40" s="46" t="s">
        <v>56</v>
      </c>
      <c r="C40" s="10"/>
      <c r="D40" s="10"/>
      <c r="E40" s="10"/>
      <c r="F40" s="10"/>
      <c r="G40" s="10"/>
      <c r="H40" s="10"/>
      <c r="I40" s="25"/>
      <c r="K40" s="10"/>
      <c r="L40" s="42"/>
    </row>
    <row r="41" spans="1:16" ht="15.75" hidden="1" thickBot="1">
      <c r="A41" s="143"/>
      <c r="B41" s="47"/>
      <c r="C41" s="17"/>
      <c r="D41" s="17"/>
      <c r="E41" s="17"/>
      <c r="F41" s="17"/>
      <c r="G41" s="17"/>
      <c r="H41" s="17"/>
      <c r="I41" s="26"/>
      <c r="K41" s="10"/>
      <c r="L41" s="42"/>
    </row>
    <row r="42" spans="1:16" ht="15.75" thickBot="1">
      <c r="A42" s="140">
        <v>6</v>
      </c>
      <c r="B42" s="6"/>
      <c r="C42" s="6">
        <f>C34+7</f>
        <v>45179</v>
      </c>
      <c r="D42" s="6">
        <f>D34+7</f>
        <v>45180</v>
      </c>
      <c r="E42" s="6">
        <f t="shared" ref="E42:H42" si="5">E34+7</f>
        <v>45181</v>
      </c>
      <c r="F42" s="6">
        <f t="shared" si="5"/>
        <v>45182</v>
      </c>
      <c r="G42" s="6">
        <f t="shared" si="5"/>
        <v>45183</v>
      </c>
      <c r="H42" s="6">
        <f t="shared" si="5"/>
        <v>45184</v>
      </c>
      <c r="I42" s="19"/>
      <c r="K42" s="10"/>
      <c r="L42" s="42"/>
    </row>
    <row r="43" spans="1:16" ht="15">
      <c r="A43" s="142"/>
      <c r="B43" s="43" t="s">
        <v>9</v>
      </c>
      <c r="C43" s="35"/>
      <c r="D43" s="35" t="s">
        <v>57</v>
      </c>
      <c r="E43" s="35"/>
      <c r="F43" s="35" t="s">
        <v>58</v>
      </c>
      <c r="G43" s="35"/>
      <c r="H43" s="35"/>
      <c r="I43" s="20"/>
      <c r="K43" s="10"/>
      <c r="L43" s="42"/>
    </row>
    <row r="44" spans="1:16" ht="24">
      <c r="A44" s="142"/>
      <c r="B44" s="53" t="s">
        <v>11</v>
      </c>
      <c r="C44" s="22"/>
      <c r="D44" s="22"/>
      <c r="E44" s="22" t="s">
        <v>59</v>
      </c>
      <c r="F44" s="22"/>
      <c r="G44" s="22" t="s">
        <v>60</v>
      </c>
      <c r="H44" s="22"/>
      <c r="I44" s="23"/>
      <c r="K44" s="10"/>
      <c r="L44" s="42"/>
      <c r="P44" s="29"/>
    </row>
    <row r="45" spans="1:16" ht="24">
      <c r="A45" s="142"/>
      <c r="B45" s="54" t="s">
        <v>14</v>
      </c>
      <c r="C45" s="24"/>
      <c r="D45" s="24" t="s">
        <v>186</v>
      </c>
      <c r="E45" s="24"/>
      <c r="F45" s="24" t="s">
        <v>186</v>
      </c>
      <c r="G45" s="24"/>
      <c r="H45" s="24"/>
      <c r="I45" s="25"/>
      <c r="K45" s="10"/>
      <c r="L45" s="42"/>
    </row>
    <row r="46" spans="1:16" ht="15">
      <c r="A46" s="142"/>
      <c r="B46" s="46" t="s">
        <v>15</v>
      </c>
      <c r="C46" s="15"/>
      <c r="D46" s="62" t="s">
        <v>61</v>
      </c>
      <c r="E46" s="10"/>
      <c r="F46" s="62" t="s">
        <v>62</v>
      </c>
      <c r="G46" s="15"/>
      <c r="H46" s="61" t="s">
        <v>64</v>
      </c>
      <c r="I46" s="23"/>
      <c r="K46" s="10"/>
      <c r="L46" s="42"/>
    </row>
    <row r="47" spans="1:16" ht="15">
      <c r="A47" s="142"/>
      <c r="B47" s="46" t="s">
        <v>17</v>
      </c>
      <c r="C47" s="15"/>
      <c r="D47" s="15"/>
      <c r="E47" s="64" t="s">
        <v>63</v>
      </c>
      <c r="F47" s="15"/>
      <c r="G47" s="15"/>
      <c r="H47" s="15"/>
      <c r="I47" s="25"/>
      <c r="K47" s="10"/>
      <c r="L47" s="42"/>
    </row>
    <row r="48" spans="1:16" ht="24.75" thickBot="1">
      <c r="A48" s="142"/>
      <c r="B48" s="46" t="s">
        <v>19</v>
      </c>
      <c r="C48" t="s">
        <v>66</v>
      </c>
      <c r="E48" t="s">
        <v>66</v>
      </c>
      <c r="I48" s="25" t="s">
        <v>67</v>
      </c>
      <c r="K48" s="10"/>
      <c r="L48" s="42"/>
    </row>
    <row r="49" spans="1:18" ht="15.75" hidden="1" thickBot="1">
      <c r="A49" s="143"/>
      <c r="B49" s="55"/>
      <c r="C49" s="30"/>
      <c r="D49" s="30"/>
      <c r="E49" s="30"/>
      <c r="F49" s="30"/>
      <c r="G49" s="30"/>
      <c r="H49" s="30"/>
      <c r="I49" s="20"/>
      <c r="K49" s="10"/>
      <c r="L49" s="42"/>
    </row>
    <row r="50" spans="1:18" ht="15.75" thickBot="1">
      <c r="A50" s="140">
        <v>7</v>
      </c>
      <c r="B50" s="6"/>
      <c r="C50" s="6">
        <f>C42+7</f>
        <v>45186</v>
      </c>
      <c r="D50" s="6">
        <f>D42+7</f>
        <v>45187</v>
      </c>
      <c r="E50" s="6">
        <f t="shared" ref="E50:H50" si="6">E42+7</f>
        <v>45188</v>
      </c>
      <c r="F50" s="6">
        <f t="shared" si="6"/>
        <v>45189</v>
      </c>
      <c r="G50" s="6">
        <f t="shared" si="6"/>
        <v>45190</v>
      </c>
      <c r="H50" s="6">
        <f t="shared" si="6"/>
        <v>45191</v>
      </c>
      <c r="I50" s="19"/>
      <c r="K50" s="10"/>
      <c r="L50" s="42"/>
    </row>
    <row r="51" spans="1:18" ht="15">
      <c r="A51" s="142"/>
      <c r="B51" s="43" t="s">
        <v>9</v>
      </c>
      <c r="C51" s="35"/>
      <c r="D51" s="35" t="s">
        <v>68</v>
      </c>
      <c r="E51" s="35"/>
      <c r="F51" s="35" t="s">
        <v>69</v>
      </c>
      <c r="G51" s="35"/>
      <c r="H51" s="35"/>
      <c r="I51" s="25"/>
      <c r="K51" s="10"/>
      <c r="L51" s="42"/>
    </row>
    <row r="52" spans="1:18" ht="24">
      <c r="A52" s="142"/>
      <c r="B52" s="53" t="s">
        <v>11</v>
      </c>
      <c r="C52" s="22"/>
      <c r="D52" s="22"/>
      <c r="E52" s="22" t="s">
        <v>70</v>
      </c>
      <c r="F52" s="22"/>
      <c r="G52" s="22" t="s">
        <v>71</v>
      </c>
      <c r="H52" s="22"/>
      <c r="I52" s="25"/>
      <c r="K52" s="10"/>
      <c r="L52" s="42"/>
    </row>
    <row r="53" spans="1:18" ht="24">
      <c r="A53" s="142"/>
      <c r="B53" s="54" t="s">
        <v>14</v>
      </c>
      <c r="C53" s="24"/>
      <c r="D53" s="24" t="s">
        <v>187</v>
      </c>
      <c r="E53" s="24"/>
      <c r="F53" s="24" t="s">
        <v>187</v>
      </c>
      <c r="G53" s="24"/>
      <c r="H53" s="24"/>
      <c r="I53" s="25"/>
      <c r="K53" s="10"/>
      <c r="L53" s="42"/>
    </row>
    <row r="54" spans="1:18" ht="15">
      <c r="A54" s="142"/>
      <c r="B54" s="46" t="s">
        <v>15</v>
      </c>
      <c r="C54" s="15"/>
      <c r="D54" s="62" t="s">
        <v>72</v>
      </c>
      <c r="E54" s="10"/>
      <c r="F54" s="62" t="s">
        <v>73</v>
      </c>
      <c r="G54" s="15"/>
      <c r="H54" s="61" t="s">
        <v>75</v>
      </c>
      <c r="I54" s="25"/>
      <c r="K54" s="10"/>
      <c r="L54" s="42"/>
      <c r="P54" s="8"/>
      <c r="Q54" s="15"/>
      <c r="R54" s="15"/>
    </row>
    <row r="55" spans="1:18" ht="35.450000000000003" customHeight="1">
      <c r="A55" s="142"/>
      <c r="B55" s="46" t="s">
        <v>17</v>
      </c>
      <c r="C55" s="15"/>
      <c r="D55" s="15"/>
      <c r="E55" s="64" t="s">
        <v>74</v>
      </c>
      <c r="F55" s="15"/>
      <c r="G55" s="15"/>
      <c r="H55" s="27"/>
      <c r="I55" s="25"/>
      <c r="K55" s="10"/>
      <c r="L55" s="42"/>
    </row>
    <row r="56" spans="1:18" ht="25.5" thickBot="1">
      <c r="A56" s="142"/>
      <c r="B56" s="46" t="s">
        <v>19</v>
      </c>
      <c r="C56" s="10" t="s">
        <v>77</v>
      </c>
      <c r="D56" s="10"/>
      <c r="E56" s="10" t="s">
        <v>77</v>
      </c>
      <c r="F56" s="30"/>
      <c r="G56" s="30"/>
      <c r="H56" s="30"/>
      <c r="I56" s="25" t="s">
        <v>78</v>
      </c>
      <c r="K56" s="10"/>
      <c r="L56" s="42"/>
    </row>
    <row r="57" spans="1:18" ht="15.75" hidden="1" thickBot="1">
      <c r="A57" s="143"/>
      <c r="B57" s="55"/>
      <c r="K57" s="10"/>
      <c r="L57" s="42"/>
    </row>
    <row r="58" spans="1:18" ht="15.75" thickBot="1">
      <c r="A58" s="140">
        <v>8</v>
      </c>
      <c r="B58" s="6"/>
      <c r="C58" s="6">
        <f>C50+7</f>
        <v>45193</v>
      </c>
      <c r="D58" s="6">
        <f>D50+7</f>
        <v>45194</v>
      </c>
      <c r="E58" s="6">
        <f t="shared" ref="E58:H58" si="7">E50+7</f>
        <v>45195</v>
      </c>
      <c r="F58" s="6">
        <f t="shared" si="7"/>
        <v>45196</v>
      </c>
      <c r="G58" s="6">
        <f t="shared" si="7"/>
        <v>45197</v>
      </c>
      <c r="H58" s="6">
        <f t="shared" si="7"/>
        <v>45198</v>
      </c>
      <c r="I58" s="28"/>
      <c r="K58" s="10"/>
      <c r="L58" s="42"/>
    </row>
    <row r="59" spans="1:18" ht="15">
      <c r="A59" s="142"/>
      <c r="B59" s="43" t="s">
        <v>9</v>
      </c>
      <c r="C59" s="35"/>
      <c r="D59" s="35" t="s">
        <v>79</v>
      </c>
      <c r="E59" s="35"/>
      <c r="F59" s="35" t="s">
        <v>188</v>
      </c>
      <c r="G59" s="35"/>
      <c r="H59" s="35"/>
      <c r="I59" s="25"/>
      <c r="K59" s="10"/>
      <c r="L59" s="42"/>
    </row>
    <row r="60" spans="1:18" ht="24">
      <c r="A60" s="142"/>
      <c r="B60" s="53" t="s">
        <v>11</v>
      </c>
      <c r="C60" s="22"/>
      <c r="D60" s="22"/>
      <c r="E60" s="22" t="s">
        <v>81</v>
      </c>
      <c r="F60" s="22"/>
      <c r="G60" s="22" t="s">
        <v>82</v>
      </c>
      <c r="H60" s="22"/>
      <c r="I60" s="25"/>
      <c r="K60" s="10"/>
      <c r="L60" s="42"/>
    </row>
    <row r="61" spans="1:18" ht="24">
      <c r="A61" s="142"/>
      <c r="B61" s="54" t="s">
        <v>14</v>
      </c>
      <c r="C61" s="24"/>
      <c r="D61" s="24" t="s">
        <v>189</v>
      </c>
      <c r="E61" s="24"/>
      <c r="F61" s="24" t="s">
        <v>189</v>
      </c>
      <c r="G61" s="24"/>
      <c r="H61" s="24"/>
      <c r="I61" s="25"/>
      <c r="K61" s="10"/>
      <c r="L61" s="42"/>
      <c r="M61" t="s">
        <v>190</v>
      </c>
    </row>
    <row r="62" spans="1:18" ht="15">
      <c r="A62" s="142"/>
      <c r="B62" s="46" t="s">
        <v>15</v>
      </c>
      <c r="C62" s="15"/>
      <c r="D62" s="62" t="s">
        <v>83</v>
      </c>
      <c r="E62" s="10"/>
      <c r="F62" s="61" t="s">
        <v>191</v>
      </c>
      <c r="G62" s="10"/>
      <c r="H62" s="61" t="s">
        <v>86</v>
      </c>
      <c r="I62" s="25"/>
      <c r="K62" s="10"/>
      <c r="L62" s="42"/>
    </row>
    <row r="63" spans="1:18" ht="15">
      <c r="A63" s="142"/>
      <c r="B63" s="46" t="s">
        <v>17</v>
      </c>
      <c r="C63" s="15"/>
      <c r="D63" s="15"/>
      <c r="E63" s="64" t="s">
        <v>85</v>
      </c>
      <c r="F63" s="15"/>
      <c r="G63" s="10"/>
      <c r="I63" s="25"/>
      <c r="K63" s="10"/>
      <c r="L63" s="42"/>
    </row>
    <row r="64" spans="1:18" ht="25.5" thickBot="1">
      <c r="A64" s="142"/>
      <c r="B64" s="46" t="s">
        <v>19</v>
      </c>
      <c r="C64" s="10" t="s">
        <v>88</v>
      </c>
      <c r="D64" s="10"/>
      <c r="E64" s="10" t="s">
        <v>88</v>
      </c>
      <c r="G64" s="10"/>
      <c r="H64" s="10"/>
      <c r="I64" s="25" t="s">
        <v>89</v>
      </c>
      <c r="K64" s="10"/>
      <c r="L64" s="42"/>
      <c r="M64" t="s">
        <v>192</v>
      </c>
    </row>
    <row r="65" spans="1:13" ht="15.75" hidden="1" thickBot="1">
      <c r="A65" s="143"/>
      <c r="B65" s="55"/>
      <c r="K65" s="10"/>
      <c r="L65" s="42"/>
    </row>
    <row r="66" spans="1:13" ht="15.75" thickBot="1">
      <c r="A66" s="140">
        <v>9</v>
      </c>
      <c r="B66" s="6"/>
      <c r="C66" s="6">
        <f>C58+7</f>
        <v>45200</v>
      </c>
      <c r="D66" s="6">
        <f>D58+7</f>
        <v>45201</v>
      </c>
      <c r="E66" s="6">
        <f t="shared" ref="E66:H66" si="8">E58+7</f>
        <v>45202</v>
      </c>
      <c r="F66" s="6">
        <f t="shared" si="8"/>
        <v>45203</v>
      </c>
      <c r="G66" s="6">
        <f t="shared" si="8"/>
        <v>45204</v>
      </c>
      <c r="H66" s="6">
        <f t="shared" si="8"/>
        <v>45205</v>
      </c>
      <c r="I66" s="28"/>
      <c r="K66" s="10"/>
      <c r="L66" s="42"/>
    </row>
    <row r="67" spans="1:13" ht="15">
      <c r="A67" s="142"/>
      <c r="B67" s="43" t="s">
        <v>9</v>
      </c>
      <c r="C67" s="35"/>
      <c r="D67" s="35"/>
      <c r="E67" s="35"/>
      <c r="F67" s="35" t="s">
        <v>90</v>
      </c>
      <c r="G67" s="35"/>
      <c r="H67" s="35"/>
      <c r="I67" s="25"/>
      <c r="K67" s="10"/>
      <c r="L67" s="42"/>
    </row>
    <row r="68" spans="1:13" ht="15">
      <c r="A68" s="142"/>
      <c r="B68" s="53" t="s">
        <v>11</v>
      </c>
      <c r="C68" s="22"/>
      <c r="D68" s="22"/>
      <c r="E68" s="64" t="s">
        <v>91</v>
      </c>
      <c r="F68" s="22"/>
      <c r="G68" s="22" t="s">
        <v>92</v>
      </c>
      <c r="H68" s="22"/>
      <c r="I68" s="25"/>
      <c r="K68" s="10"/>
      <c r="L68" s="42"/>
    </row>
    <row r="69" spans="1:13" ht="24">
      <c r="A69" s="142"/>
      <c r="B69" s="54" t="s">
        <v>14</v>
      </c>
      <c r="C69" s="24"/>
      <c r="D69" s="24" t="s">
        <v>193</v>
      </c>
      <c r="E69" s="24"/>
      <c r="F69" s="24" t="s">
        <v>193</v>
      </c>
      <c r="G69" s="24"/>
      <c r="H69" s="24"/>
      <c r="I69" s="25"/>
      <c r="K69" s="10" t="s">
        <v>93</v>
      </c>
      <c r="L69" s="42"/>
      <c r="M69" t="s">
        <v>194</v>
      </c>
    </row>
    <row r="70" spans="1:13" ht="15">
      <c r="A70" s="142"/>
      <c r="B70" s="46" t="s">
        <v>15</v>
      </c>
      <c r="C70" s="27"/>
      <c r="D70" s="27" t="s">
        <v>94</v>
      </c>
      <c r="E70" s="10"/>
      <c r="F70" s="62" t="s">
        <v>95</v>
      </c>
      <c r="G70" s="15"/>
      <c r="H70" s="61" t="s">
        <v>97</v>
      </c>
      <c r="I70" s="25"/>
      <c r="K70" s="10"/>
      <c r="L70" s="42"/>
    </row>
    <row r="71" spans="1:13" ht="32.450000000000003" customHeight="1">
      <c r="A71" s="142"/>
      <c r="B71" s="46" t="s">
        <v>17</v>
      </c>
      <c r="C71" s="8"/>
      <c r="E71" s="64" t="s">
        <v>96</v>
      </c>
      <c r="G71" s="15"/>
      <c r="H71" s="27"/>
      <c r="I71" s="25"/>
      <c r="K71" s="10"/>
      <c r="L71" s="42"/>
      <c r="M71" t="s">
        <v>195</v>
      </c>
    </row>
    <row r="72" spans="1:13" ht="25.5" thickBot="1">
      <c r="A72" s="142"/>
      <c r="B72" s="46" t="s">
        <v>19</v>
      </c>
      <c r="C72" s="10" t="s">
        <v>99</v>
      </c>
      <c r="D72" s="10"/>
      <c r="E72" s="10" t="s">
        <v>99</v>
      </c>
      <c r="G72" s="10"/>
      <c r="H72" s="10"/>
      <c r="I72" s="25" t="s">
        <v>100</v>
      </c>
      <c r="K72" s="10"/>
      <c r="L72" s="42"/>
    </row>
    <row r="73" spans="1:13" ht="15.75" hidden="1" thickBot="1">
      <c r="A73" s="143"/>
      <c r="B73" s="55"/>
      <c r="C73" s="30"/>
      <c r="D73" s="30"/>
      <c r="E73" s="30"/>
      <c r="F73" s="30"/>
      <c r="G73" s="30"/>
      <c r="I73" s="30"/>
      <c r="K73" s="10"/>
      <c r="L73" s="42"/>
    </row>
    <row r="74" spans="1:13" ht="15.75" thickBot="1">
      <c r="A74" s="140">
        <v>10</v>
      </c>
      <c r="B74" s="6"/>
      <c r="C74" s="6">
        <f>C66+7</f>
        <v>45207</v>
      </c>
      <c r="D74" s="6">
        <f>D66+7</f>
        <v>45208</v>
      </c>
      <c r="E74" s="6">
        <f t="shared" ref="E74:H74" si="9">E66+7</f>
        <v>45209</v>
      </c>
      <c r="F74" s="6">
        <f t="shared" si="9"/>
        <v>45210</v>
      </c>
      <c r="G74" s="6">
        <f t="shared" si="9"/>
        <v>45211</v>
      </c>
      <c r="H74" s="6">
        <f t="shared" si="9"/>
        <v>45212</v>
      </c>
      <c r="I74" s="28"/>
      <c r="K74" s="10"/>
      <c r="L74" s="42"/>
    </row>
    <row r="75" spans="1:13" ht="15">
      <c r="A75" s="142"/>
      <c r="B75" s="56" t="s">
        <v>9</v>
      </c>
      <c r="C75" s="35"/>
      <c r="D75" s="35" t="s">
        <v>101</v>
      </c>
      <c r="E75" s="35"/>
      <c r="F75" s="35" t="s">
        <v>102</v>
      </c>
      <c r="G75" s="35"/>
      <c r="H75" s="35"/>
      <c r="I75" s="25"/>
      <c r="K75" s="10"/>
      <c r="L75" s="42"/>
    </row>
    <row r="76" spans="1:13" ht="24">
      <c r="A76" s="142"/>
      <c r="B76" s="53" t="s">
        <v>11</v>
      </c>
      <c r="C76" s="22"/>
      <c r="D76" s="22"/>
      <c r="E76" s="22" t="s">
        <v>103</v>
      </c>
      <c r="F76" s="22"/>
      <c r="G76" s="22" t="s">
        <v>104</v>
      </c>
      <c r="H76" s="22"/>
      <c r="I76" s="25"/>
      <c r="K76" s="10"/>
      <c r="L76" s="42"/>
    </row>
    <row r="77" spans="1:13" ht="24">
      <c r="A77" s="142"/>
      <c r="B77" s="54" t="s">
        <v>105</v>
      </c>
      <c r="C77" s="24"/>
      <c r="D77" s="24" t="s">
        <v>196</v>
      </c>
      <c r="E77" s="24"/>
      <c r="F77" s="24" t="s">
        <v>196</v>
      </c>
      <c r="G77" s="24"/>
      <c r="H77" s="24"/>
      <c r="I77" s="25"/>
      <c r="K77" s="10"/>
      <c r="L77" s="42"/>
    </row>
    <row r="78" spans="1:13" ht="15">
      <c r="A78" s="142"/>
      <c r="B78" s="46" t="s">
        <v>15</v>
      </c>
      <c r="C78" s="15"/>
      <c r="D78" s="62" t="s">
        <v>106</v>
      </c>
      <c r="E78" s="10"/>
      <c r="F78" s="62" t="s">
        <v>107</v>
      </c>
      <c r="G78" s="15"/>
      <c r="H78" s="10"/>
      <c r="I78" s="25"/>
      <c r="K78" s="10"/>
      <c r="L78" s="42"/>
    </row>
    <row r="79" spans="1:13" ht="20.45" customHeight="1">
      <c r="A79" s="142"/>
      <c r="B79" s="46" t="s">
        <v>17</v>
      </c>
      <c r="C79" s="15"/>
      <c r="D79" s="15"/>
      <c r="E79" s="64" t="s">
        <v>108</v>
      </c>
      <c r="F79" s="15"/>
      <c r="G79" s="15"/>
      <c r="H79" s="62" t="s">
        <v>109</v>
      </c>
      <c r="I79" s="25"/>
      <c r="K79" s="10"/>
      <c r="L79" s="42"/>
    </row>
    <row r="80" spans="1:13" ht="25.5" thickBot="1">
      <c r="A80" s="142"/>
      <c r="B80" s="46" t="s">
        <v>19</v>
      </c>
      <c r="C80" s="10" t="s">
        <v>111</v>
      </c>
      <c r="D80" s="10"/>
      <c r="E80" s="10" t="s">
        <v>111</v>
      </c>
      <c r="G80" s="15"/>
      <c r="H80" s="15"/>
      <c r="I80" s="25" t="s">
        <v>112</v>
      </c>
      <c r="K80" s="10"/>
      <c r="L80" s="42"/>
    </row>
    <row r="81" spans="1:13" ht="15.75" hidden="1" thickBot="1">
      <c r="A81" s="143"/>
      <c r="B81" s="55"/>
      <c r="C81" s="30"/>
      <c r="D81" s="30"/>
      <c r="E81" s="30"/>
      <c r="F81" s="30"/>
      <c r="G81" s="30"/>
      <c r="H81" s="30"/>
      <c r="I81" s="30"/>
      <c r="K81" s="10"/>
      <c r="L81" s="42"/>
    </row>
    <row r="82" spans="1:13" ht="15.75" thickBot="1">
      <c r="A82" s="140">
        <v>11</v>
      </c>
      <c r="B82" s="52"/>
      <c r="C82" s="6">
        <f>C74+7</f>
        <v>45214</v>
      </c>
      <c r="D82" s="6">
        <f>D74+7</f>
        <v>45215</v>
      </c>
      <c r="E82" s="6">
        <f t="shared" ref="E82:H82" si="10">E74+7</f>
        <v>45216</v>
      </c>
      <c r="F82" s="6">
        <f t="shared" si="10"/>
        <v>45217</v>
      </c>
      <c r="G82" s="6">
        <f t="shared" si="10"/>
        <v>45218</v>
      </c>
      <c r="H82" s="6">
        <f t="shared" si="10"/>
        <v>45219</v>
      </c>
      <c r="I82" s="19"/>
      <c r="K82" s="10"/>
      <c r="L82" s="42"/>
    </row>
    <row r="83" spans="1:13" ht="15">
      <c r="A83" s="142"/>
      <c r="B83" s="43" t="s">
        <v>9</v>
      </c>
      <c r="C83" s="35"/>
      <c r="D83" s="35" t="s">
        <v>113</v>
      </c>
      <c r="E83" s="35"/>
      <c r="F83" s="35" t="s">
        <v>114</v>
      </c>
      <c r="G83" s="35"/>
      <c r="H83" s="35"/>
      <c r="I83" s="25"/>
      <c r="K83" s="10"/>
      <c r="L83" s="42"/>
    </row>
    <row r="84" spans="1:13" ht="24">
      <c r="A84" s="142"/>
      <c r="B84" s="53" t="s">
        <v>11</v>
      </c>
      <c r="C84" s="22"/>
      <c r="D84" s="22"/>
      <c r="E84" s="22" t="s">
        <v>115</v>
      </c>
      <c r="F84" s="22"/>
      <c r="G84" s="22" t="s">
        <v>116</v>
      </c>
      <c r="H84" s="22"/>
      <c r="I84" s="25"/>
      <c r="K84" s="10"/>
      <c r="L84" s="42"/>
      <c r="M84" t="s">
        <v>197</v>
      </c>
    </row>
    <row r="85" spans="1:13" ht="15">
      <c r="A85" s="142"/>
      <c r="B85" s="54" t="s">
        <v>105</v>
      </c>
      <c r="C85" s="24"/>
      <c r="D85" s="24" t="s">
        <v>198</v>
      </c>
      <c r="E85" s="24"/>
      <c r="F85" s="24" t="s">
        <v>198</v>
      </c>
      <c r="G85" s="24"/>
      <c r="H85" s="24"/>
      <c r="I85" s="25"/>
      <c r="K85" s="10"/>
      <c r="L85" s="42"/>
    </row>
    <row r="86" spans="1:13" ht="15">
      <c r="A86" s="142"/>
      <c r="B86" s="46" t="s">
        <v>15</v>
      </c>
      <c r="C86" s="15"/>
      <c r="D86" s="62" t="s">
        <v>117</v>
      </c>
      <c r="E86" s="10"/>
      <c r="F86" s="62" t="s">
        <v>118</v>
      </c>
      <c r="G86" s="15"/>
      <c r="H86" s="10"/>
      <c r="I86" s="25"/>
      <c r="K86" s="10"/>
      <c r="L86" s="42"/>
    </row>
    <row r="87" spans="1:13" ht="37.5" customHeight="1">
      <c r="A87" s="142"/>
      <c r="B87" s="46" t="s">
        <v>17</v>
      </c>
      <c r="C87" s="15"/>
      <c r="D87" s="15"/>
      <c r="E87" s="64" t="s">
        <v>119</v>
      </c>
      <c r="F87" s="15"/>
      <c r="G87" s="15"/>
      <c r="H87" s="62" t="s">
        <v>120</v>
      </c>
      <c r="I87" s="25"/>
      <c r="K87" s="10"/>
      <c r="L87" s="42"/>
    </row>
    <row r="88" spans="1:13" ht="25.5" thickBot="1">
      <c r="A88" s="142"/>
      <c r="B88" s="46" t="s">
        <v>19</v>
      </c>
      <c r="C88" s="10" t="s">
        <v>122</v>
      </c>
      <c r="D88" s="10"/>
      <c r="E88" s="10" t="s">
        <v>122</v>
      </c>
      <c r="G88" s="15"/>
      <c r="H88" s="15"/>
      <c r="I88" s="25" t="s">
        <v>123</v>
      </c>
      <c r="K88" s="10"/>
      <c r="L88" s="42"/>
    </row>
    <row r="89" spans="1:13" ht="15.75" hidden="1" thickBot="1">
      <c r="A89" s="143"/>
      <c r="B89" s="55"/>
      <c r="C89" s="30"/>
      <c r="D89" s="30"/>
      <c r="E89" s="30"/>
      <c r="F89" s="30"/>
      <c r="G89" s="30"/>
      <c r="H89" s="30"/>
      <c r="I89" s="30"/>
    </row>
    <row r="90" spans="1:13" ht="15.75" thickBot="1">
      <c r="A90" s="140">
        <v>12</v>
      </c>
      <c r="B90" s="6"/>
      <c r="C90" s="6">
        <f>C82+7</f>
        <v>45221</v>
      </c>
      <c r="D90" s="6">
        <f>D82+7</f>
        <v>45222</v>
      </c>
      <c r="E90" s="6">
        <f t="shared" ref="E90:H90" si="11">E82+7</f>
        <v>45223</v>
      </c>
      <c r="F90" s="6">
        <f t="shared" si="11"/>
        <v>45224</v>
      </c>
      <c r="G90" s="6">
        <f t="shared" si="11"/>
        <v>45225</v>
      </c>
      <c r="H90" s="6">
        <f t="shared" si="11"/>
        <v>45226</v>
      </c>
      <c r="I90" s="28"/>
    </row>
    <row r="91" spans="1:13" ht="15">
      <c r="A91" s="142"/>
      <c r="B91" s="43" t="s">
        <v>9</v>
      </c>
      <c r="C91" s="35"/>
      <c r="D91" s="35" t="s">
        <v>199</v>
      </c>
      <c r="E91" s="35"/>
      <c r="F91" s="35" t="s">
        <v>125</v>
      </c>
      <c r="G91" s="35"/>
      <c r="H91" s="35"/>
      <c r="I91" s="25"/>
    </row>
    <row r="92" spans="1:13" ht="24">
      <c r="A92" s="142"/>
      <c r="B92" s="53" t="s">
        <v>11</v>
      </c>
      <c r="C92" s="22"/>
      <c r="D92" s="22"/>
      <c r="E92" s="22" t="s">
        <v>126</v>
      </c>
      <c r="F92" s="22"/>
      <c r="G92" s="22" t="s">
        <v>127</v>
      </c>
      <c r="H92" s="22"/>
      <c r="I92" s="25"/>
    </row>
    <row r="93" spans="1:13" ht="24">
      <c r="A93" s="142"/>
      <c r="B93" s="54" t="s">
        <v>14</v>
      </c>
      <c r="C93" s="24"/>
      <c r="D93" s="24" t="s">
        <v>200</v>
      </c>
      <c r="E93" s="24"/>
      <c r="F93" s="24" t="s">
        <v>200</v>
      </c>
      <c r="G93" s="24"/>
      <c r="H93" s="24"/>
      <c r="I93" s="25"/>
    </row>
    <row r="94" spans="1:13" ht="15">
      <c r="A94" s="142"/>
      <c r="B94" s="46" t="s">
        <v>15</v>
      </c>
      <c r="C94" s="15"/>
      <c r="D94" s="62" t="s">
        <v>201</v>
      </c>
      <c r="E94" s="10"/>
      <c r="F94" s="62" t="s">
        <v>129</v>
      </c>
      <c r="G94" s="15"/>
      <c r="H94" s="10"/>
      <c r="I94" s="25"/>
    </row>
    <row r="95" spans="1:13" ht="23.1" customHeight="1">
      <c r="A95" s="142"/>
      <c r="B95" s="46" t="s">
        <v>17</v>
      </c>
      <c r="C95" s="15"/>
      <c r="D95" s="15"/>
      <c r="E95" s="64" t="s">
        <v>130</v>
      </c>
      <c r="F95" s="15"/>
      <c r="G95" s="27"/>
      <c r="H95" s="62" t="s">
        <v>202</v>
      </c>
      <c r="I95" s="25"/>
    </row>
    <row r="96" spans="1:13" ht="25.5" thickBot="1">
      <c r="A96" s="142"/>
      <c r="B96" s="46" t="s">
        <v>19</v>
      </c>
      <c r="C96" s="10" t="s">
        <v>132</v>
      </c>
      <c r="D96" s="10"/>
      <c r="E96" s="10" t="s">
        <v>132</v>
      </c>
      <c r="G96" s="15"/>
      <c r="H96" s="15"/>
      <c r="I96" s="25" t="s">
        <v>203</v>
      </c>
    </row>
    <row r="97" spans="1:13" ht="15.75" hidden="1" thickBot="1">
      <c r="A97" s="143"/>
      <c r="B97" s="55"/>
      <c r="C97" s="30"/>
      <c r="D97" s="30"/>
      <c r="E97" s="30"/>
      <c r="F97" s="30"/>
      <c r="G97" s="30"/>
      <c r="H97" s="30"/>
      <c r="I97" s="30"/>
    </row>
    <row r="98" spans="1:13" ht="15.75" thickBot="1">
      <c r="A98" s="140">
        <v>13</v>
      </c>
      <c r="B98" s="6"/>
      <c r="C98" s="6">
        <f>C90+7</f>
        <v>45228</v>
      </c>
      <c r="D98" s="6">
        <f>D90+7</f>
        <v>45229</v>
      </c>
      <c r="E98" s="6">
        <f t="shared" ref="E98:H98" si="12">E90+7</f>
        <v>45230</v>
      </c>
      <c r="F98" s="6">
        <f t="shared" si="12"/>
        <v>45231</v>
      </c>
      <c r="G98" s="6">
        <f t="shared" si="12"/>
        <v>45232</v>
      </c>
      <c r="H98" s="6">
        <f t="shared" si="12"/>
        <v>45233</v>
      </c>
      <c r="I98" s="28"/>
    </row>
    <row r="99" spans="1:13" ht="15">
      <c r="A99" s="142"/>
      <c r="B99" s="43" t="s">
        <v>9</v>
      </c>
      <c r="C99" s="35"/>
      <c r="D99" s="35"/>
      <c r="E99" s="35"/>
      <c r="F99" s="35" t="s">
        <v>134</v>
      </c>
      <c r="G99" s="35"/>
      <c r="H99" s="35"/>
      <c r="I99" s="25"/>
    </row>
    <row r="100" spans="1:13" ht="24">
      <c r="A100" s="142"/>
      <c r="B100" s="53" t="s">
        <v>11</v>
      </c>
      <c r="C100" s="22"/>
      <c r="D100" s="22"/>
      <c r="E100" s="64" t="s">
        <v>135</v>
      </c>
      <c r="F100" s="22"/>
      <c r="G100" s="22" t="s">
        <v>136</v>
      </c>
      <c r="H100" s="22"/>
      <c r="I100" s="25"/>
      <c r="M100" t="s">
        <v>204</v>
      </c>
    </row>
    <row r="101" spans="1:13" ht="24">
      <c r="A101" s="142"/>
      <c r="B101" s="54" t="s">
        <v>14</v>
      </c>
      <c r="C101" s="24"/>
      <c r="D101" s="24" t="s">
        <v>205</v>
      </c>
      <c r="E101" s="24"/>
      <c r="F101" s="24" t="s">
        <v>205</v>
      </c>
      <c r="G101" s="24"/>
      <c r="H101" s="24"/>
      <c r="I101" s="25"/>
    </row>
    <row r="102" spans="1:13" ht="15">
      <c r="A102" s="142"/>
      <c r="B102" s="46" t="s">
        <v>15</v>
      </c>
      <c r="D102" s="27" t="s">
        <v>94</v>
      </c>
      <c r="E102" s="10"/>
      <c r="F102" s="62" t="s">
        <v>137</v>
      </c>
      <c r="G102" s="10"/>
      <c r="H102" s="10"/>
      <c r="I102" s="25"/>
      <c r="K102"/>
      <c r="L102" s="11"/>
    </row>
    <row r="103" spans="1:13" ht="15">
      <c r="A103" s="142"/>
      <c r="B103" s="46" t="s">
        <v>17</v>
      </c>
      <c r="C103" s="15"/>
      <c r="D103" s="15"/>
      <c r="E103" s="64" t="s">
        <v>138</v>
      </c>
      <c r="F103" s="31"/>
      <c r="G103" s="10"/>
      <c r="H103" s="61" t="s">
        <v>139</v>
      </c>
      <c r="I103" s="25"/>
      <c r="K103"/>
      <c r="L103" s="11"/>
    </row>
    <row r="104" spans="1:13" ht="24.75" thickBot="1">
      <c r="A104" s="142"/>
      <c r="B104" s="46" t="s">
        <v>19</v>
      </c>
      <c r="C104" s="10" t="s">
        <v>141</v>
      </c>
      <c r="D104" s="10"/>
      <c r="E104" s="10" t="s">
        <v>141</v>
      </c>
      <c r="G104" s="27"/>
      <c r="H104" s="15"/>
      <c r="I104" s="25" t="s">
        <v>142</v>
      </c>
      <c r="K104"/>
      <c r="L104" s="11"/>
    </row>
    <row r="105" spans="1:13" ht="15.75" hidden="1" thickBot="1">
      <c r="A105" s="143"/>
      <c r="B105" s="55"/>
      <c r="C105" s="30"/>
      <c r="D105" s="30"/>
      <c r="E105" s="30"/>
      <c r="F105" s="30"/>
      <c r="G105" s="30"/>
      <c r="I105" s="30"/>
    </row>
    <row r="106" spans="1:13" ht="19.5" hidden="1" thickBot="1">
      <c r="A106" s="36"/>
      <c r="B106" s="33"/>
      <c r="C106" s="33"/>
      <c r="D106" s="33"/>
      <c r="E106" s="33"/>
      <c r="F106" s="33"/>
      <c r="G106" s="33"/>
      <c r="H106" s="33"/>
      <c r="I106" s="18"/>
    </row>
    <row r="107" spans="1:13" ht="15.75" thickBot="1">
      <c r="A107" s="140">
        <v>14</v>
      </c>
      <c r="B107" s="6"/>
      <c r="C107" s="6">
        <f>C98+7</f>
        <v>45235</v>
      </c>
      <c r="D107" s="6">
        <f>D98+7</f>
        <v>45236</v>
      </c>
      <c r="E107" s="6">
        <f t="shared" ref="E107:H107" si="13">E98+7</f>
        <v>45237</v>
      </c>
      <c r="F107" s="6">
        <f t="shared" si="13"/>
        <v>45238</v>
      </c>
      <c r="G107" s="6">
        <f t="shared" si="13"/>
        <v>45239</v>
      </c>
      <c r="H107" s="6">
        <f t="shared" si="13"/>
        <v>45240</v>
      </c>
      <c r="I107" s="19"/>
    </row>
    <row r="108" spans="1:13" ht="15">
      <c r="A108" s="142"/>
      <c r="B108" s="43" t="s">
        <v>9</v>
      </c>
      <c r="C108" s="35"/>
      <c r="D108" s="35" t="s">
        <v>143</v>
      </c>
      <c r="E108" s="35"/>
      <c r="F108" s="35" t="s">
        <v>144</v>
      </c>
      <c r="G108" s="35"/>
      <c r="H108" s="35"/>
      <c r="I108" s="25"/>
    </row>
    <row r="109" spans="1:13" ht="15">
      <c r="A109" s="142"/>
      <c r="B109" s="53" t="s">
        <v>11</v>
      </c>
      <c r="C109" s="22"/>
      <c r="D109" s="22"/>
      <c r="E109" s="22" t="s">
        <v>145</v>
      </c>
      <c r="F109" s="22"/>
      <c r="G109" s="22" t="s">
        <v>146</v>
      </c>
      <c r="H109" s="21" t="s">
        <v>147</v>
      </c>
      <c r="I109" s="25"/>
    </row>
    <row r="110" spans="1:13" ht="24">
      <c r="A110" s="142"/>
      <c r="B110" s="54" t="s">
        <v>14</v>
      </c>
      <c r="C110" s="24"/>
      <c r="D110" s="24" t="s">
        <v>206</v>
      </c>
      <c r="E110" s="24"/>
      <c r="F110" s="24" t="s">
        <v>206</v>
      </c>
      <c r="G110" s="24"/>
      <c r="H110" s="21" t="s">
        <v>147</v>
      </c>
      <c r="I110" s="25"/>
    </row>
    <row r="111" spans="1:13" ht="15">
      <c r="A111" s="142"/>
      <c r="B111" s="46" t="s">
        <v>15</v>
      </c>
      <c r="C111" s="15"/>
      <c r="D111" s="62" t="s">
        <v>148</v>
      </c>
      <c r="E111" s="10"/>
      <c r="F111" s="62" t="s">
        <v>149</v>
      </c>
      <c r="G111" s="15"/>
      <c r="H111" s="10"/>
      <c r="I111" s="25"/>
    </row>
    <row r="112" spans="1:13" ht="33.950000000000003" customHeight="1">
      <c r="A112" s="142"/>
      <c r="B112" s="46" t="s">
        <v>17</v>
      </c>
      <c r="C112" s="10"/>
      <c r="D112" s="10"/>
      <c r="E112" s="64" t="s">
        <v>150</v>
      </c>
      <c r="F112" s="15"/>
      <c r="G112" s="15"/>
      <c r="H112" s="62" t="s">
        <v>151</v>
      </c>
      <c r="I112" s="25"/>
    </row>
    <row r="113" spans="1:9" ht="37.5" thickBot="1">
      <c r="A113" s="142"/>
      <c r="B113" s="46" t="s">
        <v>19</v>
      </c>
      <c r="C113" s="10" t="s">
        <v>152</v>
      </c>
      <c r="D113" s="31"/>
      <c r="E113" s="10"/>
      <c r="G113" s="10"/>
      <c r="H113" s="15"/>
      <c r="I113" s="25" t="s">
        <v>153</v>
      </c>
    </row>
    <row r="114" spans="1:9" ht="15.75" hidden="1" thickBot="1">
      <c r="A114" s="143"/>
      <c r="B114" s="55"/>
      <c r="C114" s="30"/>
      <c r="D114" s="30"/>
      <c r="E114" s="30"/>
      <c r="F114" s="30"/>
      <c r="G114" s="30"/>
      <c r="H114" s="30"/>
      <c r="I114" s="30"/>
    </row>
    <row r="115" spans="1:9" ht="15.75" thickBot="1">
      <c r="A115" s="140">
        <v>15</v>
      </c>
      <c r="B115" s="6"/>
      <c r="C115" s="6">
        <f>C107+7</f>
        <v>45242</v>
      </c>
      <c r="D115" s="6">
        <f>D107+7</f>
        <v>45243</v>
      </c>
      <c r="E115" s="6">
        <f t="shared" ref="E115:H115" si="14">E107+7</f>
        <v>45244</v>
      </c>
      <c r="F115" s="6">
        <f t="shared" si="14"/>
        <v>45245</v>
      </c>
      <c r="G115" s="6">
        <f t="shared" si="14"/>
        <v>45246</v>
      </c>
      <c r="H115" s="6">
        <f t="shared" si="14"/>
        <v>45247</v>
      </c>
      <c r="I115" s="19"/>
    </row>
    <row r="116" spans="1:9" ht="15">
      <c r="A116" s="142"/>
      <c r="B116" s="43" t="s">
        <v>9</v>
      </c>
      <c r="C116" s="35"/>
      <c r="D116" s="35" t="s">
        <v>154</v>
      </c>
      <c r="E116" s="35"/>
      <c r="F116" s="35" t="s">
        <v>155</v>
      </c>
      <c r="G116" s="35"/>
      <c r="H116" s="35"/>
      <c r="I116" s="25"/>
    </row>
    <row r="117" spans="1:9" ht="24">
      <c r="A117" s="142"/>
      <c r="B117" s="53" t="s">
        <v>11</v>
      </c>
      <c r="C117" s="22"/>
      <c r="D117" s="22"/>
      <c r="E117" s="22" t="s">
        <v>156</v>
      </c>
      <c r="F117" s="22"/>
      <c r="G117" s="22" t="s">
        <v>157</v>
      </c>
      <c r="H117" s="22"/>
      <c r="I117" s="25"/>
    </row>
    <row r="118" spans="1:9" ht="24">
      <c r="A118" s="142"/>
      <c r="B118" s="54" t="s">
        <v>14</v>
      </c>
      <c r="C118" s="24"/>
      <c r="D118" s="24" t="s">
        <v>207</v>
      </c>
      <c r="E118" s="24"/>
      <c r="F118" s="24" t="s">
        <v>207</v>
      </c>
      <c r="G118" s="24"/>
      <c r="H118" s="24"/>
      <c r="I118" s="25"/>
    </row>
    <row r="119" spans="1:9" ht="15">
      <c r="A119" s="142"/>
      <c r="B119" s="46" t="s">
        <v>15</v>
      </c>
      <c r="C119" s="15"/>
      <c r="D119" s="62" t="s">
        <v>158</v>
      </c>
      <c r="E119" s="10"/>
      <c r="F119" s="61" t="s">
        <v>159</v>
      </c>
      <c r="G119" s="10"/>
      <c r="H119" s="10"/>
      <c r="I119" s="25"/>
    </row>
    <row r="120" spans="1:9" ht="25.5" customHeight="1">
      <c r="A120" s="142"/>
      <c r="B120" s="46" t="s">
        <v>17</v>
      </c>
      <c r="C120" s="15"/>
      <c r="D120" s="15"/>
      <c r="E120" s="64" t="s">
        <v>160</v>
      </c>
      <c r="F120" s="15"/>
      <c r="G120" s="10"/>
      <c r="H120" s="62" t="s">
        <v>161</v>
      </c>
      <c r="I120" s="25"/>
    </row>
    <row r="121" spans="1:9" ht="25.5" thickBot="1">
      <c r="A121" s="142"/>
      <c r="B121" s="46" t="s">
        <v>19</v>
      </c>
      <c r="C121" s="10" t="s">
        <v>162</v>
      </c>
      <c r="D121" s="10"/>
      <c r="E121" s="10"/>
      <c r="G121" s="15"/>
      <c r="H121" s="15"/>
      <c r="I121" s="25" t="s">
        <v>163</v>
      </c>
    </row>
    <row r="122" spans="1:9" ht="15.75" hidden="1" thickBot="1">
      <c r="A122" s="143"/>
      <c r="B122" s="55"/>
      <c r="C122" s="30"/>
      <c r="D122" s="30"/>
      <c r="E122" s="30"/>
      <c r="F122" s="30"/>
      <c r="G122" s="30"/>
      <c r="H122" s="30"/>
      <c r="I122" s="30"/>
    </row>
    <row r="123" spans="1:9" ht="15.75" thickBot="1">
      <c r="A123" s="140">
        <v>16</v>
      </c>
      <c r="B123" s="6"/>
      <c r="C123" s="6">
        <f>C115+7</f>
        <v>45249</v>
      </c>
      <c r="D123" s="6">
        <f>D115+7</f>
        <v>45250</v>
      </c>
      <c r="E123" s="6">
        <f t="shared" ref="E123:H123" si="15">E115+7</f>
        <v>45251</v>
      </c>
      <c r="F123" s="6">
        <f t="shared" si="15"/>
        <v>45252</v>
      </c>
      <c r="G123" s="6">
        <f t="shared" si="15"/>
        <v>45253</v>
      </c>
      <c r="H123" s="6">
        <f t="shared" si="15"/>
        <v>45254</v>
      </c>
      <c r="I123" s="19"/>
    </row>
    <row r="124" spans="1:9" ht="15">
      <c r="A124" s="142"/>
      <c r="B124" s="43" t="s">
        <v>9</v>
      </c>
      <c r="C124" s="35"/>
      <c r="D124" s="35" t="s">
        <v>164</v>
      </c>
      <c r="E124" s="35"/>
      <c r="F124" s="35"/>
      <c r="G124" s="35"/>
      <c r="H124" s="35"/>
      <c r="I124" s="25"/>
    </row>
    <row r="125" spans="1:9" ht="15">
      <c r="A125" s="142"/>
      <c r="B125" s="53" t="s">
        <v>11</v>
      </c>
      <c r="C125" s="22"/>
      <c r="D125" s="22"/>
      <c r="E125" s="22" t="s">
        <v>165</v>
      </c>
      <c r="F125" s="22"/>
      <c r="G125" s="21" t="s">
        <v>166</v>
      </c>
      <c r="H125" s="21" t="s">
        <v>166</v>
      </c>
      <c r="I125" s="25"/>
    </row>
    <row r="126" spans="1:9" ht="24">
      <c r="A126" s="142"/>
      <c r="B126" s="54" t="s">
        <v>14</v>
      </c>
      <c r="C126" s="24"/>
      <c r="D126" s="24" t="s">
        <v>167</v>
      </c>
      <c r="E126" s="24"/>
      <c r="F126" s="24" t="s">
        <v>167</v>
      </c>
      <c r="G126" s="21" t="s">
        <v>166</v>
      </c>
      <c r="H126" s="21" t="s">
        <v>166</v>
      </c>
      <c r="I126" s="25"/>
    </row>
    <row r="127" spans="1:9" ht="15">
      <c r="A127" s="142"/>
      <c r="B127" s="46" t="s">
        <v>15</v>
      </c>
      <c r="C127" s="15"/>
      <c r="D127" s="15" t="s">
        <v>208</v>
      </c>
      <c r="E127" s="10"/>
      <c r="F127" s="15"/>
      <c r="G127" s="15"/>
      <c r="H127" s="10"/>
      <c r="I127" s="25"/>
    </row>
    <row r="128" spans="1:9" ht="15">
      <c r="A128" s="142"/>
      <c r="B128" s="46" t="s">
        <v>17</v>
      </c>
      <c r="C128" s="15"/>
      <c r="D128" s="15"/>
      <c r="E128" s="27" t="s">
        <v>169</v>
      </c>
      <c r="F128" s="27"/>
      <c r="G128" s="10"/>
      <c r="I128" s="10" t="s">
        <v>170</v>
      </c>
    </row>
    <row r="129" spans="1:9" ht="15.75" thickBot="1">
      <c r="A129" s="142"/>
      <c r="B129" s="46" t="s">
        <v>19</v>
      </c>
      <c r="I129" s="25"/>
    </row>
    <row r="130" spans="1:9" ht="15.75" thickBot="1">
      <c r="A130" s="140">
        <v>17</v>
      </c>
      <c r="B130" s="32"/>
      <c r="C130" s="6">
        <f t="shared" ref="C130:H130" si="16">C123+7</f>
        <v>45256</v>
      </c>
      <c r="D130" s="6">
        <f t="shared" si="16"/>
        <v>45257</v>
      </c>
      <c r="E130" s="6">
        <f t="shared" si="16"/>
        <v>45258</v>
      </c>
      <c r="F130" s="6">
        <f t="shared" si="16"/>
        <v>45259</v>
      </c>
      <c r="G130" s="6">
        <f t="shared" si="16"/>
        <v>45260</v>
      </c>
      <c r="H130" s="6">
        <f t="shared" si="16"/>
        <v>45261</v>
      </c>
      <c r="I130" s="19"/>
    </row>
    <row r="131" spans="1:9" ht="15" hidden="1">
      <c r="A131" s="142"/>
      <c r="B131" s="56" t="s">
        <v>9</v>
      </c>
      <c r="C131" s="35"/>
      <c r="D131" s="35"/>
      <c r="E131" s="35"/>
      <c r="F131" s="35"/>
      <c r="G131" s="35"/>
      <c r="H131" s="35"/>
      <c r="I131" s="25"/>
    </row>
    <row r="132" spans="1:9" ht="27.6" customHeight="1">
      <c r="A132" s="141"/>
      <c r="B132" s="57" t="s">
        <v>11</v>
      </c>
      <c r="C132" s="22"/>
      <c r="D132" s="22"/>
      <c r="E132" s="38" t="s">
        <v>172</v>
      </c>
      <c r="F132" s="22"/>
      <c r="G132" s="22" t="s">
        <v>173</v>
      </c>
      <c r="H132" s="22"/>
      <c r="I132" s="25"/>
    </row>
    <row r="133" spans="1:9" ht="24">
      <c r="A133" s="141"/>
      <c r="B133" s="58" t="s">
        <v>14</v>
      </c>
      <c r="C133" s="24"/>
      <c r="D133" s="24" t="s">
        <v>209</v>
      </c>
      <c r="E133" s="24"/>
      <c r="F133" s="24" t="s">
        <v>209</v>
      </c>
      <c r="G133" s="24"/>
      <c r="H133" s="24"/>
      <c r="I133" s="25"/>
    </row>
    <row r="134" spans="1:9" ht="15" hidden="1">
      <c r="A134" s="141"/>
      <c r="B134" s="27" t="s">
        <v>174</v>
      </c>
      <c r="C134" s="27"/>
      <c r="D134" s="27"/>
      <c r="E134" s="27"/>
      <c r="F134" s="15"/>
      <c r="G134" s="15"/>
      <c r="H134" s="15"/>
      <c r="I134" s="25"/>
    </row>
    <row r="135" spans="1:9" ht="15" hidden="1">
      <c r="A135" s="141"/>
      <c r="B135" s="46" t="s">
        <v>15</v>
      </c>
      <c r="C135" s="27"/>
      <c r="D135" s="27"/>
      <c r="E135" s="27"/>
      <c r="F135" s="10"/>
      <c r="G135" s="15"/>
      <c r="H135" s="10"/>
      <c r="I135" s="25"/>
    </row>
    <row r="136" spans="1:9" ht="15.75" thickBot="1">
      <c r="A136" s="141"/>
      <c r="B136" s="46" t="s">
        <v>17</v>
      </c>
      <c r="C136" s="10"/>
      <c r="D136" s="10"/>
      <c r="E136" s="10"/>
      <c r="F136" s="10"/>
      <c r="G136" s="10"/>
      <c r="H136" s="10"/>
      <c r="I136" s="25"/>
    </row>
    <row r="137" spans="1:9" ht="15.75" hidden="1" thickBot="1">
      <c r="A137" s="174"/>
      <c r="B137" s="46" t="s">
        <v>56</v>
      </c>
      <c r="C137" s="30"/>
      <c r="D137" s="30"/>
      <c r="E137" s="30"/>
      <c r="F137" s="30"/>
      <c r="G137" s="30"/>
      <c r="H137" s="30"/>
      <c r="I137" s="25"/>
    </row>
    <row r="138" spans="1:9" ht="15.75" thickBot="1">
      <c r="A138" s="140" t="s">
        <v>176</v>
      </c>
      <c r="B138" s="32"/>
      <c r="C138" s="6">
        <f>C130+7</f>
        <v>45263</v>
      </c>
      <c r="D138" s="6">
        <f>D130+7</f>
        <v>45264</v>
      </c>
      <c r="E138" s="6">
        <f t="shared" ref="E138:H138" si="17">E130+7</f>
        <v>45265</v>
      </c>
      <c r="F138" s="6">
        <f t="shared" si="17"/>
        <v>45266</v>
      </c>
      <c r="G138" s="6">
        <f t="shared" si="17"/>
        <v>45267</v>
      </c>
      <c r="H138" s="6">
        <f t="shared" si="17"/>
        <v>45268</v>
      </c>
      <c r="I138" s="19"/>
    </row>
    <row r="139" spans="1:9" ht="15">
      <c r="A139" s="142"/>
      <c r="B139" s="165"/>
      <c r="C139" s="171"/>
      <c r="D139" s="162"/>
      <c r="E139" s="162" t="s">
        <v>210</v>
      </c>
      <c r="F139" s="168"/>
      <c r="G139" s="168"/>
      <c r="H139" s="162"/>
      <c r="I139" s="25"/>
    </row>
    <row r="140" spans="1:9" ht="15">
      <c r="A140" s="142"/>
      <c r="B140" s="166"/>
      <c r="C140" s="172"/>
      <c r="D140" s="163"/>
      <c r="E140" s="163"/>
      <c r="F140" s="169"/>
      <c r="G140" s="169"/>
      <c r="H140" s="163"/>
      <c r="I140" s="25"/>
    </row>
    <row r="141" spans="1:9" ht="15">
      <c r="A141" s="142"/>
      <c r="B141" s="166"/>
      <c r="C141" s="172"/>
      <c r="D141" s="163"/>
      <c r="E141" s="163"/>
      <c r="F141" s="169"/>
      <c r="G141" s="169"/>
      <c r="H141" s="163"/>
      <c r="I141" s="25"/>
    </row>
    <row r="142" spans="1:9" ht="15.75" thickBot="1">
      <c r="A142" s="143"/>
      <c r="B142" s="167"/>
      <c r="C142" s="173"/>
      <c r="D142" s="164"/>
      <c r="E142" s="164"/>
      <c r="F142" s="170"/>
      <c r="G142" s="170"/>
      <c r="H142" s="164"/>
      <c r="I142" s="59"/>
    </row>
  </sheetData>
  <mergeCells count="25">
    <mergeCell ref="A42:A49"/>
    <mergeCell ref="A2:A9"/>
    <mergeCell ref="A10:A17"/>
    <mergeCell ref="A18:A25"/>
    <mergeCell ref="A26:A33"/>
    <mergeCell ref="A34:A41"/>
    <mergeCell ref="A130:A137"/>
    <mergeCell ref="A50:A57"/>
    <mergeCell ref="A58:A65"/>
    <mergeCell ref="A66:A73"/>
    <mergeCell ref="A74:A81"/>
    <mergeCell ref="A82:A89"/>
    <mergeCell ref="A90:A97"/>
    <mergeCell ref="A98:A105"/>
    <mergeCell ref="A107:A114"/>
    <mergeCell ref="A115:A122"/>
    <mergeCell ref="A123:A129"/>
    <mergeCell ref="H139:H142"/>
    <mergeCell ref="A138:A142"/>
    <mergeCell ref="B139:B142"/>
    <mergeCell ref="D139:D142"/>
    <mergeCell ref="E139:E142"/>
    <mergeCell ref="F139:F142"/>
    <mergeCell ref="G139:G142"/>
    <mergeCell ref="C139:C142"/>
  </mergeCells>
  <pageMargins left="0.7" right="0.7" top="0.75" bottom="0.75" header="0.3" footer="0.3"/>
  <pageSetup scale="56" fitToHeight="0" orientation="landscape" horizontalDpi="360" verticalDpi="360" r:id="rId1"/>
  <headerFooter>
    <oddFooter>&amp;LRevision &amp;D&amp;C&amp;"-,Bold"&amp;F&amp;RPage &amp;P</oddFooter>
  </headerFooter>
  <rowBreaks count="2" manualBreakCount="2">
    <brk id="41" max="16383" man="1"/>
    <brk id="8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F145-44EC-45E1-A8AF-67846DE47135}">
  <sheetPr>
    <pageSetUpPr fitToPage="1"/>
  </sheetPr>
  <dimension ref="A1:K60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6" sqref="H6"/>
    </sheetView>
  </sheetViews>
  <sheetFormatPr defaultColWidth="8.85546875" defaultRowHeight="18.75"/>
  <cols>
    <col min="1" max="1" width="13.7109375" style="34" customWidth="1"/>
    <col min="2" max="3" width="26.42578125" style="8" customWidth="1"/>
    <col min="4" max="4" width="24.42578125" style="8" customWidth="1"/>
    <col min="6" max="6" width="27.5703125" style="8" hidden="1" customWidth="1"/>
    <col min="7" max="7" width="26.85546875" style="41" hidden="1" customWidth="1"/>
    <col min="8" max="8" width="26.140625" customWidth="1"/>
    <col min="9" max="9" width="50.85546875" customWidth="1"/>
    <col min="10" max="10" width="11.7109375" bestFit="1" customWidth="1"/>
  </cols>
  <sheetData>
    <row r="1" spans="1:9" s="3" customFormat="1" ht="42.75" thickBot="1">
      <c r="A1" s="1" t="s">
        <v>0</v>
      </c>
      <c r="B1" s="1" t="s">
        <v>211</v>
      </c>
      <c r="C1" s="1" t="s">
        <v>212</v>
      </c>
      <c r="D1" s="1" t="s">
        <v>56</v>
      </c>
      <c r="F1" s="4"/>
      <c r="G1" s="40"/>
    </row>
    <row r="2" spans="1:9" ht="15.75" thickBot="1">
      <c r="A2" s="140">
        <v>1</v>
      </c>
      <c r="B2" s="6">
        <f>'Spring 2026 Schedule Copy'!E2</f>
        <v>46035</v>
      </c>
      <c r="C2" s="6">
        <f>'Spring 2026 Schedule Copy'!G2</f>
        <v>46037</v>
      </c>
      <c r="D2" s="6" t="s">
        <v>213</v>
      </c>
    </row>
    <row r="3" spans="1:9" ht="24.75" thickBot="1">
      <c r="A3" s="142"/>
      <c r="B3" s="12" t="s">
        <v>214</v>
      </c>
      <c r="C3" s="12" t="s">
        <v>13</v>
      </c>
      <c r="D3" s="13" t="s">
        <v>177</v>
      </c>
      <c r="F3" s="10"/>
      <c r="G3" s="42"/>
      <c r="H3" s="15"/>
      <c r="I3" s="39"/>
    </row>
    <row r="4" spans="1:9" ht="15.75" hidden="1" thickBot="1">
      <c r="A4" s="143"/>
      <c r="B4" s="17"/>
      <c r="C4" s="17"/>
      <c r="F4" s="10"/>
      <c r="G4" s="42"/>
      <c r="I4" s="39"/>
    </row>
    <row r="5" spans="1:9" ht="15.75" thickBot="1">
      <c r="A5" s="140">
        <v>2</v>
      </c>
      <c r="B5" s="6">
        <f>B2+7</f>
        <v>46042</v>
      </c>
      <c r="C5" s="6">
        <f>C2+7</f>
        <v>46044</v>
      </c>
      <c r="D5" s="6" t="s">
        <v>213</v>
      </c>
      <c r="F5" s="10"/>
      <c r="G5" s="42"/>
      <c r="I5" s="39"/>
    </row>
    <row r="6" spans="1:9" ht="48.75" thickBot="1">
      <c r="A6" s="142"/>
      <c r="B6" s="22" t="s">
        <v>23</v>
      </c>
      <c r="C6" s="22" t="s">
        <v>24</v>
      </c>
      <c r="D6" s="24" t="s">
        <v>215</v>
      </c>
      <c r="F6" s="10"/>
      <c r="G6" s="42"/>
      <c r="I6" s="39"/>
    </row>
    <row r="7" spans="1:9" ht="15.75" hidden="1" thickBot="1">
      <c r="A7" s="143"/>
      <c r="B7" s="17"/>
      <c r="C7" s="17"/>
      <c r="D7" s="17"/>
      <c r="F7" s="10"/>
      <c r="G7" s="42"/>
    </row>
    <row r="8" spans="1:9" ht="15.75" thickBot="1">
      <c r="A8" s="140">
        <v>3</v>
      </c>
      <c r="B8" s="6">
        <f>B5+7</f>
        <v>46049</v>
      </c>
      <c r="C8" s="6">
        <f>C5+7</f>
        <v>46051</v>
      </c>
      <c r="D8" s="6" t="s">
        <v>213</v>
      </c>
      <c r="F8" s="10"/>
      <c r="G8" s="42"/>
    </row>
    <row r="9" spans="1:9" ht="36.75" thickBot="1">
      <c r="A9" s="142"/>
      <c r="B9" s="37" t="s">
        <v>216</v>
      </c>
      <c r="C9" s="22" t="s">
        <v>31</v>
      </c>
      <c r="D9" s="24" t="s">
        <v>217</v>
      </c>
      <c r="F9" s="10"/>
      <c r="G9" s="42"/>
    </row>
    <row r="10" spans="1:9" ht="15.75" hidden="1" thickBot="1">
      <c r="A10" s="143"/>
      <c r="B10" s="17"/>
      <c r="C10" s="17"/>
      <c r="D10" s="26"/>
      <c r="G10" s="42"/>
    </row>
    <row r="11" spans="1:9" ht="15.75" thickBot="1">
      <c r="A11" s="140">
        <v>4</v>
      </c>
      <c r="B11" s="6">
        <f>B8+7</f>
        <v>46056</v>
      </c>
      <c r="C11" s="6">
        <f>C8+7</f>
        <v>46058</v>
      </c>
      <c r="D11" s="6" t="s">
        <v>213</v>
      </c>
      <c r="F11" s="10"/>
      <c r="G11" s="42"/>
    </row>
    <row r="12" spans="1:9" ht="36.75" thickBot="1">
      <c r="A12" s="142"/>
      <c r="B12" s="38" t="s">
        <v>38</v>
      </c>
      <c r="C12" s="22" t="s">
        <v>39</v>
      </c>
      <c r="D12" s="24" t="s">
        <v>218</v>
      </c>
      <c r="F12" s="10"/>
      <c r="G12" s="42"/>
    </row>
    <row r="13" spans="1:9" ht="15.75" hidden="1" thickBot="1">
      <c r="A13" s="143"/>
      <c r="B13" s="17"/>
      <c r="C13" s="17"/>
      <c r="D13" s="26"/>
      <c r="G13" s="42"/>
    </row>
    <row r="14" spans="1:9" ht="15.75" thickBot="1">
      <c r="A14" s="140">
        <v>5</v>
      </c>
      <c r="B14" s="6">
        <f>B11+7</f>
        <v>46063</v>
      </c>
      <c r="C14" s="6">
        <f>C11+7</f>
        <v>46065</v>
      </c>
      <c r="D14" s="6" t="s">
        <v>213</v>
      </c>
      <c r="F14" s="10"/>
      <c r="G14" s="42"/>
    </row>
    <row r="15" spans="1:9" ht="24.75" thickBot="1">
      <c r="A15" s="142"/>
      <c r="B15" s="22" t="s">
        <v>49</v>
      </c>
      <c r="C15" s="22" t="s">
        <v>50</v>
      </c>
      <c r="D15" s="24" t="s">
        <v>219</v>
      </c>
      <c r="F15" s="10"/>
      <c r="G15" s="42"/>
    </row>
    <row r="16" spans="1:9" ht="15.75" hidden="1" thickBot="1">
      <c r="A16" s="143"/>
      <c r="B16" s="17"/>
      <c r="C16" s="17"/>
      <c r="D16" s="17"/>
      <c r="F16" s="10"/>
      <c r="G16" s="42"/>
    </row>
    <row r="17" spans="1:11" ht="15.75" thickBot="1">
      <c r="A17" s="140">
        <v>6</v>
      </c>
      <c r="B17" s="6">
        <f>B14+7</f>
        <v>46070</v>
      </c>
      <c r="C17" s="6">
        <f>C14+7</f>
        <v>46072</v>
      </c>
      <c r="D17" s="6" t="s">
        <v>213</v>
      </c>
      <c r="F17" s="10"/>
      <c r="G17" s="42"/>
    </row>
    <row r="18" spans="1:11" ht="24.75" thickBot="1">
      <c r="A18" s="142"/>
      <c r="B18" s="22" t="s">
        <v>59</v>
      </c>
      <c r="C18" s="22" t="s">
        <v>60</v>
      </c>
      <c r="D18" s="24" t="s">
        <v>220</v>
      </c>
      <c r="F18" s="10"/>
      <c r="G18" s="42"/>
      <c r="K18" s="29"/>
    </row>
    <row r="19" spans="1:11" ht="15.75" hidden="1" thickBot="1">
      <c r="A19" s="143"/>
      <c r="B19" s="30"/>
      <c r="C19" s="30"/>
      <c r="D19" s="30"/>
      <c r="F19" s="10"/>
      <c r="G19" s="42"/>
    </row>
    <row r="20" spans="1:11" ht="15.75" thickBot="1">
      <c r="A20" s="140">
        <v>7</v>
      </c>
      <c r="B20" s="6">
        <f>B17+7</f>
        <v>46077</v>
      </c>
      <c r="C20" s="6">
        <f>C17+7</f>
        <v>46079</v>
      </c>
      <c r="D20" s="6" t="s">
        <v>213</v>
      </c>
      <c r="F20" s="10"/>
      <c r="G20" s="42"/>
    </row>
    <row r="21" spans="1:11" ht="24.75" thickBot="1">
      <c r="A21" s="142"/>
      <c r="B21" s="22" t="s">
        <v>70</v>
      </c>
      <c r="C21" s="22" t="s">
        <v>71</v>
      </c>
      <c r="D21" s="24" t="s">
        <v>221</v>
      </c>
      <c r="F21" s="10"/>
      <c r="G21" s="42"/>
    </row>
    <row r="22" spans="1:11" ht="15.75" hidden="1" thickBot="1">
      <c r="A22" s="143"/>
      <c r="F22" s="10"/>
      <c r="G22" s="42"/>
    </row>
    <row r="23" spans="1:11" ht="15.75" thickBot="1">
      <c r="A23" s="140">
        <v>8</v>
      </c>
      <c r="B23" s="6">
        <f>B20+7</f>
        <v>46084</v>
      </c>
      <c r="C23" s="6">
        <f>C20+7</f>
        <v>46086</v>
      </c>
      <c r="D23" s="6" t="s">
        <v>213</v>
      </c>
      <c r="F23" s="10"/>
      <c r="G23" s="42"/>
    </row>
    <row r="24" spans="1:11" ht="24.75" thickBot="1">
      <c r="A24" s="142"/>
      <c r="B24" s="22" t="s">
        <v>81</v>
      </c>
      <c r="C24" s="22" t="s">
        <v>82</v>
      </c>
      <c r="D24" s="24" t="s">
        <v>222</v>
      </c>
      <c r="F24" s="10"/>
      <c r="G24" s="42"/>
    </row>
    <row r="25" spans="1:11" ht="15.75" hidden="1" thickBot="1">
      <c r="A25" s="143"/>
      <c r="F25" s="10"/>
      <c r="G25" s="42"/>
    </row>
    <row r="26" spans="1:11" ht="15.75" thickBot="1">
      <c r="A26" s="140">
        <v>9</v>
      </c>
      <c r="B26" s="6">
        <f>B23+7</f>
        <v>46091</v>
      </c>
      <c r="C26" s="6">
        <f>C23+7</f>
        <v>46093</v>
      </c>
      <c r="D26" s="6" t="s">
        <v>213</v>
      </c>
      <c r="F26" s="10"/>
      <c r="G26" s="42"/>
    </row>
    <row r="27" spans="1:11" ht="24.75" thickBot="1">
      <c r="A27" s="142"/>
      <c r="B27" s="38" t="s">
        <v>91</v>
      </c>
      <c r="C27" s="22" t="s">
        <v>92</v>
      </c>
      <c r="D27" s="24" t="s">
        <v>223</v>
      </c>
      <c r="F27" s="10"/>
      <c r="G27" s="42"/>
    </row>
    <row r="28" spans="1:11" ht="15.75" hidden="1" thickBot="1">
      <c r="A28" s="143"/>
      <c r="B28" s="30"/>
      <c r="C28" s="30"/>
      <c r="F28" s="10"/>
      <c r="G28" s="42"/>
    </row>
    <row r="29" spans="1:11" ht="15.75" thickBot="1">
      <c r="A29" s="140">
        <v>10</v>
      </c>
      <c r="B29" s="6">
        <f>B26+7</f>
        <v>46098</v>
      </c>
      <c r="C29" s="6">
        <f>C26+7</f>
        <v>46100</v>
      </c>
      <c r="D29" s="6" t="s">
        <v>213</v>
      </c>
      <c r="F29" s="10"/>
      <c r="G29" s="42"/>
    </row>
    <row r="30" spans="1:11" ht="36.75" thickBot="1">
      <c r="A30" s="142"/>
      <c r="B30" s="22" t="s">
        <v>103</v>
      </c>
      <c r="C30" s="22" t="s">
        <v>104</v>
      </c>
      <c r="D30" s="24" t="s">
        <v>224</v>
      </c>
      <c r="F30" s="10"/>
      <c r="G30" s="42"/>
    </row>
    <row r="31" spans="1:11" ht="15.75" hidden="1" thickBot="1">
      <c r="A31" s="143"/>
      <c r="B31" s="30"/>
      <c r="C31" s="30"/>
      <c r="D31" s="30"/>
      <c r="F31" s="10"/>
      <c r="G31" s="42"/>
    </row>
    <row r="32" spans="1:11" ht="15.75" thickBot="1">
      <c r="A32" s="140">
        <v>11</v>
      </c>
      <c r="B32" s="6">
        <f>B29+7</f>
        <v>46105</v>
      </c>
      <c r="C32" s="6">
        <f>C29+7</f>
        <v>46107</v>
      </c>
      <c r="D32" s="6" t="s">
        <v>213</v>
      </c>
      <c r="F32" s="10"/>
      <c r="G32" s="42"/>
    </row>
    <row r="33" spans="1:7" ht="24.75" thickBot="1">
      <c r="A33" s="142"/>
      <c r="B33" s="22" t="s">
        <v>115</v>
      </c>
      <c r="C33" s="22" t="s">
        <v>116</v>
      </c>
      <c r="D33" s="24" t="s">
        <v>225</v>
      </c>
      <c r="F33" s="10"/>
      <c r="G33" s="42"/>
    </row>
    <row r="34" spans="1:7" ht="15.75" hidden="1" thickBot="1">
      <c r="A34" s="143"/>
      <c r="B34" s="30"/>
      <c r="C34" s="30"/>
      <c r="D34" s="30"/>
    </row>
    <row r="35" spans="1:7" ht="15.75" thickBot="1">
      <c r="A35" s="140">
        <v>12</v>
      </c>
      <c r="B35" s="6">
        <f>B32+7</f>
        <v>46112</v>
      </c>
      <c r="C35" s="6">
        <f>C32+7</f>
        <v>46114</v>
      </c>
      <c r="D35" s="6" t="s">
        <v>213</v>
      </c>
    </row>
    <row r="36" spans="1:7" ht="24.75" thickBot="1">
      <c r="A36" s="142"/>
      <c r="B36" s="22" t="s">
        <v>126</v>
      </c>
      <c r="C36" s="22" t="s">
        <v>127</v>
      </c>
      <c r="D36" s="24" t="s">
        <v>226</v>
      </c>
    </row>
    <row r="37" spans="1:7" ht="15.75" hidden="1" thickBot="1">
      <c r="A37" s="143"/>
      <c r="B37" s="30"/>
      <c r="C37" s="30"/>
      <c r="D37" s="30"/>
    </row>
    <row r="38" spans="1:7" ht="15.75" thickBot="1">
      <c r="A38" s="140">
        <v>13</v>
      </c>
      <c r="B38" s="6">
        <f>B35+7</f>
        <v>46119</v>
      </c>
      <c r="C38" s="6">
        <f>C35+7</f>
        <v>46121</v>
      </c>
      <c r="D38" s="6" t="s">
        <v>213</v>
      </c>
    </row>
    <row r="39" spans="1:7" ht="24.75" thickBot="1">
      <c r="A39" s="142"/>
      <c r="B39" s="38" t="s">
        <v>135</v>
      </c>
      <c r="C39" s="22" t="s">
        <v>136</v>
      </c>
      <c r="D39" s="24" t="s">
        <v>227</v>
      </c>
    </row>
    <row r="40" spans="1:7" ht="15.75" hidden="1" thickBot="1">
      <c r="A40" s="143"/>
      <c r="B40" s="30"/>
      <c r="C40" s="30"/>
    </row>
    <row r="41" spans="1:7" ht="19.5" hidden="1" thickBot="1">
      <c r="A41" s="36"/>
      <c r="B41" s="33"/>
      <c r="C41" s="33"/>
      <c r="D41" s="33"/>
    </row>
    <row r="42" spans="1:7" ht="15.75" thickBot="1">
      <c r="A42" s="140">
        <v>14</v>
      </c>
      <c r="B42" s="6">
        <f>B38+7</f>
        <v>46126</v>
      </c>
      <c r="C42" s="6">
        <f>C38+7</f>
        <v>46128</v>
      </c>
      <c r="D42" s="6" t="s">
        <v>213</v>
      </c>
    </row>
    <row r="43" spans="1:7" ht="36.75" thickBot="1">
      <c r="A43" s="142"/>
      <c r="B43" s="22" t="s">
        <v>145</v>
      </c>
      <c r="C43" s="22" t="s">
        <v>146</v>
      </c>
      <c r="D43" s="24" t="s">
        <v>228</v>
      </c>
    </row>
    <row r="44" spans="1:7" ht="15.75" hidden="1" thickBot="1">
      <c r="A44" s="143"/>
      <c r="B44" s="30"/>
      <c r="C44" s="30"/>
      <c r="D44" s="30"/>
    </row>
    <row r="45" spans="1:7" ht="15.75" thickBot="1">
      <c r="A45" s="140">
        <v>15</v>
      </c>
      <c r="B45" s="6">
        <f>B42+7</f>
        <v>46133</v>
      </c>
      <c r="C45" s="6">
        <f>C42+7</f>
        <v>46135</v>
      </c>
      <c r="D45" s="6" t="s">
        <v>213</v>
      </c>
    </row>
    <row r="46" spans="1:7" ht="36.75" thickBot="1">
      <c r="A46" s="142"/>
      <c r="B46" s="22" t="s">
        <v>156</v>
      </c>
      <c r="C46" s="22" t="s">
        <v>157</v>
      </c>
      <c r="D46" s="24" t="s">
        <v>229</v>
      </c>
    </row>
    <row r="47" spans="1:7" ht="15.75" hidden="1" thickBot="1">
      <c r="A47" s="143"/>
      <c r="B47" s="30"/>
      <c r="C47" s="30"/>
      <c r="D47" s="30"/>
    </row>
    <row r="48" spans="1:7" ht="15.75" thickBot="1">
      <c r="A48" s="140">
        <v>16</v>
      </c>
      <c r="B48" s="6">
        <f>B45+7</f>
        <v>46140</v>
      </c>
      <c r="C48" s="6">
        <f>C45+7</f>
        <v>46142</v>
      </c>
      <c r="D48" s="6" t="s">
        <v>213</v>
      </c>
    </row>
    <row r="49" spans="1:4" ht="15.75" thickBot="1">
      <c r="A49" s="142"/>
      <c r="B49" s="22" t="s">
        <v>165</v>
      </c>
      <c r="C49" s="21" t="s">
        <v>166</v>
      </c>
      <c r="D49" s="24" t="s">
        <v>167</v>
      </c>
    </row>
    <row r="50" spans="1:4" ht="15.75" thickBot="1">
      <c r="A50" s="140">
        <v>17</v>
      </c>
      <c r="B50" s="6">
        <f>B48+7</f>
        <v>46147</v>
      </c>
      <c r="C50" s="6">
        <f>C48+7</f>
        <v>46149</v>
      </c>
      <c r="D50" s="6" t="s">
        <v>213</v>
      </c>
    </row>
    <row r="51" spans="1:4" ht="15" hidden="1">
      <c r="A51" s="142"/>
      <c r="B51" s="35"/>
      <c r="C51" s="35"/>
      <c r="D51" s="35"/>
    </row>
    <row r="52" spans="1:4" ht="27.6" customHeight="1" thickBot="1">
      <c r="A52" s="141"/>
      <c r="B52" s="38" t="s">
        <v>172</v>
      </c>
      <c r="C52" s="22" t="s">
        <v>173</v>
      </c>
      <c r="D52" s="24" t="s">
        <v>230</v>
      </c>
    </row>
    <row r="53" spans="1:4" ht="15" hidden="1">
      <c r="A53" s="141"/>
      <c r="B53" s="27"/>
      <c r="C53" s="15"/>
      <c r="D53" s="15"/>
    </row>
    <row r="54" spans="1:4" ht="15" hidden="1">
      <c r="A54" s="141"/>
      <c r="B54" s="27"/>
      <c r="C54" s="15"/>
      <c r="D54" s="10"/>
    </row>
    <row r="55" spans="1:4" ht="15.75" hidden="1" thickBot="1">
      <c r="A55" s="174"/>
      <c r="B55" s="30"/>
      <c r="C55" s="30"/>
      <c r="D55" s="30"/>
    </row>
    <row r="56" spans="1:4" ht="15.75" thickBot="1">
      <c r="A56" s="140" t="s">
        <v>176</v>
      </c>
      <c r="B56" s="6">
        <f>B50+7</f>
        <v>46154</v>
      </c>
      <c r="C56" s="6">
        <f>C50+7</f>
        <v>46156</v>
      </c>
      <c r="D56" s="6" t="s">
        <v>213</v>
      </c>
    </row>
    <row r="57" spans="1:4" ht="15">
      <c r="A57" s="142"/>
      <c r="B57" s="162" t="s">
        <v>231</v>
      </c>
      <c r="C57" s="162" t="s">
        <v>232</v>
      </c>
      <c r="D57" s="162"/>
    </row>
    <row r="58" spans="1:4" ht="15">
      <c r="A58" s="142"/>
      <c r="B58" s="163"/>
      <c r="C58" s="163"/>
      <c r="D58" s="163"/>
    </row>
    <row r="59" spans="1:4" ht="15">
      <c r="A59" s="142"/>
      <c r="B59" s="163"/>
      <c r="C59" s="163"/>
      <c r="D59" s="163"/>
    </row>
    <row r="60" spans="1:4" ht="15.75" thickBot="1">
      <c r="A60" s="143"/>
      <c r="B60" s="164"/>
      <c r="C60" s="164"/>
      <c r="D60" s="164"/>
    </row>
  </sheetData>
  <mergeCells count="21"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D57:D60"/>
    <mergeCell ref="B57:B60"/>
    <mergeCell ref="C57:C60"/>
    <mergeCell ref="A38:A40"/>
    <mergeCell ref="A42:A44"/>
    <mergeCell ref="A45:A47"/>
    <mergeCell ref="A48:A49"/>
    <mergeCell ref="A50:A55"/>
    <mergeCell ref="A56:A60"/>
  </mergeCells>
  <pageMargins left="0.7" right="0.7" top="0.75" bottom="0.75" header="0.3" footer="0.3"/>
  <pageSetup scale="56" fitToHeight="0" orientation="landscape" horizontalDpi="360" verticalDpi="360" r:id="rId1"/>
  <headerFooter>
    <oddFooter>&amp;LRevision &amp;D&amp;C&amp;"-,Bold"&amp;F&amp;RPage &amp;P</oddFooter>
  </headerFooter>
  <rowBreaks count="2" manualBreakCount="2">
    <brk id="16" max="16383" man="1"/>
    <brk id="3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Spring 2026 Schedule</vt:lpstr>
      <vt:lpstr>Spring 2026 Schedule Copy</vt:lpstr>
      <vt:lpstr>CU Schedule</vt:lpstr>
      <vt:lpstr>Prep Check off</vt:lpstr>
      <vt:lpstr>Brief Lab Schedule</vt:lpstr>
      <vt:lpstr>'Brief Lab Schedule'!Print_Area</vt:lpstr>
      <vt:lpstr>'Prep Check off'!Print_Area</vt:lpstr>
      <vt:lpstr>'Spring 2026 Schedule'!Print_Area</vt:lpstr>
      <vt:lpstr>'Spring 2026 Schedule Copy'!Print_Area</vt:lpstr>
      <vt:lpstr>'Brief Lab Schedule'!Print_Titles</vt:lpstr>
      <vt:lpstr>'Prep Check off'!Print_Titles</vt:lpstr>
      <vt:lpstr>'Spring 2026 Schedule'!Print_Titles</vt:lpstr>
      <vt:lpstr>'Spring 2026 Schedule Copy'!Print_Titles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Catherine Uvarov</dc:creator>
  <cp:keywords/>
  <dc:description/>
  <cp:lastModifiedBy>Mitch Halloran</cp:lastModifiedBy>
  <cp:revision/>
  <dcterms:created xsi:type="dcterms:W3CDTF">2021-12-27T04:10:09Z</dcterms:created>
  <dcterms:modified xsi:type="dcterms:W3CDTF">2026-01-12T18:43:17Z</dcterms:modified>
  <cp:category/>
  <cp:contentStatus/>
</cp:coreProperties>
</file>