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"/>
    </mc:Choice>
  </mc:AlternateContent>
  <xr:revisionPtr revIDLastSave="0" documentId="13_ncr:1_{B9D89FBE-12E5-4AFF-A6D5-668E1252323A}" xr6:coauthVersionLast="47" xr6:coauthVersionMax="47" xr10:uidLastSave="{00000000-0000-0000-0000-000000000000}"/>
  <bookViews>
    <workbookView xWindow="10485" yWindow="360" windowWidth="22875" windowHeight="19785" xr2:uid="{C687F1CC-9DF9-412E-983C-5D59E2DD5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9" i="1" s="1"/>
  <c r="G11" i="1"/>
  <c r="G12" i="1"/>
  <c r="G13" i="1"/>
  <c r="G14" i="1"/>
  <c r="G15" i="1"/>
  <c r="G8" i="1"/>
  <c r="G6" i="1"/>
  <c r="P35" i="1"/>
  <c r="P29" i="1"/>
  <c r="G10" i="1" l="1"/>
  <c r="D23" i="1" l="1" a="1"/>
  <c r="D23" i="1" s="1"/>
  <c r="D24" i="1" a="1"/>
  <c r="D24" i="1" s="1"/>
  <c r="D25" i="1" a="1"/>
  <c r="D25" i="1" s="1"/>
  <c r="D26" i="1" a="1"/>
  <c r="D26" i="1" s="1"/>
  <c r="D22" i="1" a="1"/>
  <c r="D22" i="1" s="1"/>
  <c r="C23" i="1" a="1"/>
  <c r="C23" i="1" s="1"/>
  <c r="C24" i="1" a="1"/>
  <c r="C24" i="1" s="1"/>
  <c r="C25" i="1" a="1"/>
  <c r="C25" i="1" s="1"/>
  <c r="C26" i="1" a="1"/>
  <c r="C26" i="1" s="1"/>
  <c r="C22" i="1" a="1"/>
  <c r="C22" i="1" s="1"/>
  <c r="C19" i="1" a="1"/>
  <c r="C19" i="1" s="1"/>
  <c r="D19" i="1" a="1"/>
  <c r="D19" i="1" s="1"/>
  <c r="D18" i="1" a="1"/>
  <c r="D18" i="1" s="1"/>
  <c r="C9" i="1" a="1"/>
  <c r="C9" i="1" s="1"/>
  <c r="D9" i="1" a="1"/>
  <c r="D9" i="1" s="1"/>
  <c r="C10" i="1" a="1"/>
  <c r="C10" i="1" s="1"/>
  <c r="D10" i="1" a="1"/>
  <c r="D10" i="1" s="1"/>
  <c r="C11" i="1" a="1"/>
  <c r="C11" i="1" s="1"/>
  <c r="D11" i="1" a="1"/>
  <c r="D11" i="1" s="1"/>
  <c r="C12" i="1" a="1"/>
  <c r="C12" i="1" s="1"/>
  <c r="D12" i="1" a="1"/>
  <c r="D12" i="1" s="1"/>
  <c r="C13" i="1" a="1"/>
  <c r="C13" i="1" s="1"/>
  <c r="D13" i="1" a="1"/>
  <c r="D13" i="1" s="1"/>
  <c r="C14" i="1" a="1"/>
  <c r="C14" i="1" s="1"/>
  <c r="D14" i="1" a="1"/>
  <c r="D14" i="1" s="1"/>
  <c r="C15" i="1" a="1"/>
  <c r="C15" i="1" s="1"/>
  <c r="D15" i="1" a="1"/>
  <c r="D15" i="1" s="1"/>
  <c r="D8" i="1" a="1"/>
  <c r="D8" i="1" s="1"/>
  <c r="C18" i="1" a="1"/>
  <c r="C18" i="1" s="1"/>
  <c r="C8" i="1" a="1"/>
  <c r="C8" i="1" s="1"/>
  <c r="E24" i="1" l="1"/>
  <c r="F24" i="1" s="1"/>
  <c r="G24" i="1" s="1"/>
  <c r="E26" i="1"/>
  <c r="F26" i="1" s="1"/>
  <c r="G26" i="1" s="1"/>
  <c r="E23" i="1"/>
  <c r="F23" i="1" s="1"/>
  <c r="G23" i="1" s="1"/>
  <c r="E25" i="1"/>
  <c r="F25" i="1" s="1"/>
  <c r="G25" i="1" s="1"/>
  <c r="E18" i="1"/>
  <c r="F18" i="1" s="1"/>
  <c r="G18" i="1" s="1"/>
  <c r="E19" i="1"/>
  <c r="F19" i="1" s="1"/>
  <c r="G19" i="1" s="1"/>
  <c r="E22" i="1"/>
  <c r="F22" i="1" s="1"/>
  <c r="G22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P31" i="1" l="1"/>
  <c r="P32" i="1" s="1"/>
  <c r="P30" i="1"/>
  <c r="P3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<sst xmlns="http://schemas.openxmlformats.org/spreadsheetml/2006/main" count="805" uniqueCount="77">
  <si>
    <t>Exam</t>
  </si>
  <si>
    <t>Q 1</t>
  </si>
  <si>
    <t>Q 2</t>
  </si>
  <si>
    <t>Santos, Madi</t>
  </si>
  <si>
    <t>E</t>
  </si>
  <si>
    <t>A</t>
  </si>
  <si>
    <t>B</t>
  </si>
  <si>
    <t>D</t>
  </si>
  <si>
    <t>C</t>
  </si>
  <si>
    <t xml:space="preserve"> </t>
  </si>
  <si>
    <t>F</t>
  </si>
  <si>
    <t>T</t>
  </si>
  <si>
    <t>Rodriguez, Ericke</t>
  </si>
  <si>
    <t>KEY</t>
  </si>
  <si>
    <t>Khan, Hamza</t>
  </si>
  <si>
    <t>Parada, Jennifer</t>
  </si>
  <si>
    <t>San Roman, Jesus</t>
  </si>
  <si>
    <t>Pyle, Matthew</t>
  </si>
  <si>
    <t>Wright, Rebecca</t>
  </si>
  <si>
    <t>Bryant, Taj</t>
  </si>
  <si>
    <t>Negrete, Miguel</t>
  </si>
  <si>
    <t>Martinez, Rogelio</t>
  </si>
  <si>
    <t>Her, Kangbao</t>
  </si>
  <si>
    <t>Sarkisyan, Rita</t>
  </si>
  <si>
    <t>Xiong, Wendy</t>
  </si>
  <si>
    <t>Tacadena, Elle</t>
  </si>
  <si>
    <t>Pedroza, Serena</t>
  </si>
  <si>
    <t>Q 3</t>
  </si>
  <si>
    <t>Q 4</t>
  </si>
  <si>
    <t>Q 5</t>
  </si>
  <si>
    <t>Q 6</t>
  </si>
  <si>
    <t>Q 7</t>
  </si>
  <si>
    <t>Q 8</t>
  </si>
  <si>
    <t>Q 9</t>
  </si>
  <si>
    <t>Q 10</t>
  </si>
  <si>
    <t>Q 11</t>
  </si>
  <si>
    <t>Q 12</t>
  </si>
  <si>
    <t>Q 13</t>
  </si>
  <si>
    <t>Q 14</t>
  </si>
  <si>
    <t>Q 15</t>
  </si>
  <si>
    <t>Q 16</t>
  </si>
  <si>
    <t>Q 17</t>
  </si>
  <si>
    <t>Q 18</t>
  </si>
  <si>
    <t>Q 19</t>
  </si>
  <si>
    <t>Q 20</t>
  </si>
  <si>
    <t>Q 21</t>
  </si>
  <si>
    <t>Q 22</t>
  </si>
  <si>
    <t>Q 23</t>
  </si>
  <si>
    <t>Q 24</t>
  </si>
  <si>
    <t>Q 25</t>
  </si>
  <si>
    <t>Q 26</t>
  </si>
  <si>
    <t>Q 27</t>
  </si>
  <si>
    <t>Q 28</t>
  </si>
  <si>
    <t>Q 29</t>
  </si>
  <si>
    <t>Q 30</t>
  </si>
  <si>
    <t>Q 31</t>
  </si>
  <si>
    <t>Q 32</t>
  </si>
  <si>
    <t>Q 33</t>
  </si>
  <si>
    <t>Q 34</t>
  </si>
  <si>
    <t>Q 35</t>
  </si>
  <si>
    <t>M/C Correct</t>
  </si>
  <si>
    <t>T/F Correct</t>
  </si>
  <si>
    <t>Raw Score</t>
  </si>
  <si>
    <t>Adjusted Score</t>
  </si>
  <si>
    <t>Q</t>
  </si>
  <si>
    <t>Original Score</t>
  </si>
  <si>
    <t>Cap Limit</t>
  </si>
  <si>
    <t>score max</t>
  </si>
  <si>
    <t>max-min</t>
  </si>
  <si>
    <t>score -min</t>
  </si>
  <si>
    <t>score</t>
  </si>
  <si>
    <t>min</t>
  </si>
  <si>
    <t>adj score</t>
  </si>
  <si>
    <t>Cap factor</t>
  </si>
  <si>
    <t>orig max</t>
  </si>
  <si>
    <t>fair low</t>
  </si>
  <si>
    <t>min retake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</si>
</sst>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5766-FA47-4422-9E0D-BBF392786972}">
  <sheetPr codeName="Sheet1"/>
  <dimension ref="A1:AQ65"/>
  <sheetViews>
    <sheetView tabSelected="1" workbookViewId="0">
      <pane xSplit="29370" ySplit="1740" topLeftCell="H1" activePane="bottomLeft"/>
      <selection pane="topRight" activeCell="H1" sqref="H1"/>
      <selection pane="bottomLeft" activeCell="E11" sqref="E11"/>
      <selection pane="bottomRight" activeCell="H31" sqref="H31"/>
    </sheetView>
  </sheetViews>
  <sheetFormatPr defaultRowHeight="15" x14ac:dyDescent="0.25"/>
  <cols>
    <col min="1" max="1" width="18.85546875" customWidth="1"/>
    <col min="2" max="2" width="8.85546875" customWidth="1"/>
    <col min="3" max="5" width="7.140625" customWidth="1"/>
    <col min="6" max="6" width="8.140625" customWidth="1"/>
    <col min="7" max="7" width="7.5703125" customWidth="1"/>
    <col min="8" max="8" width="7" customWidth="1"/>
    <col min="9" max="23" width="5.5703125" style="1" customWidth="1"/>
    <col min="24" max="43" width="5.5703125" customWidth="1"/>
  </cols>
  <sheetData>
    <row r="1" spans="1:43" x14ac:dyDescent="0.25">
      <c r="H1" t="s">
        <v>0</v>
      </c>
    </row>
    <row r="2" spans="1:43" x14ac:dyDescent="0.25">
      <c r="B2" s="10" t="s">
        <v>73</v>
      </c>
      <c r="C2" s="1">
        <v>0.97</v>
      </c>
      <c r="D2" s="1"/>
      <c r="E2" s="1"/>
    </row>
    <row r="3" spans="1:43" x14ac:dyDescent="0.25">
      <c r="B3" s="5" t="s">
        <v>65</v>
      </c>
      <c r="C3" s="4" t="s">
        <v>60</v>
      </c>
      <c r="D3" s="4" t="s">
        <v>61</v>
      </c>
      <c r="E3" s="4" t="s">
        <v>62</v>
      </c>
      <c r="F3" s="5" t="s">
        <v>63</v>
      </c>
      <c r="G3" s="6"/>
      <c r="I3" s="1" t="s">
        <v>1</v>
      </c>
      <c r="J3" s="1" t="s">
        <v>2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45</v>
      </c>
      <c r="AD3" s="1" t="s">
        <v>46</v>
      </c>
      <c r="AE3" s="1" t="s">
        <v>47</v>
      </c>
      <c r="AF3" s="1" t="s">
        <v>48</v>
      </c>
      <c r="AG3" s="1" t="s">
        <v>49</v>
      </c>
      <c r="AH3" s="1" t="s">
        <v>50</v>
      </c>
      <c r="AI3" s="1" t="s">
        <v>51</v>
      </c>
      <c r="AJ3" s="1" t="s">
        <v>52</v>
      </c>
      <c r="AK3" s="1" t="s">
        <v>53</v>
      </c>
      <c r="AL3" s="1" t="s">
        <v>54</v>
      </c>
      <c r="AM3" s="1" t="s">
        <v>55</v>
      </c>
      <c r="AN3" s="1" t="s">
        <v>56</v>
      </c>
      <c r="AO3" s="1" t="s">
        <v>57</v>
      </c>
      <c r="AP3" s="1" t="s">
        <v>58</v>
      </c>
      <c r="AQ3" s="1" t="s">
        <v>59</v>
      </c>
    </row>
    <row r="4" spans="1:43" ht="27" x14ac:dyDescent="0.25">
      <c r="B4" s="5"/>
      <c r="C4" s="4"/>
      <c r="D4" s="4"/>
      <c r="E4" s="4"/>
      <c r="F4" s="5"/>
      <c r="G4" s="6" t="s">
        <v>66</v>
      </c>
      <c r="I4"/>
      <c r="J4"/>
      <c r="K4"/>
      <c r="L4"/>
      <c r="M4"/>
      <c r="X4" s="1"/>
      <c r="Y4" s="1"/>
      <c r="Z4" s="1"/>
      <c r="AA4" s="1"/>
      <c r="AB4" s="1"/>
    </row>
    <row r="5" spans="1:43" x14ac:dyDescent="0.25">
      <c r="B5" s="6"/>
      <c r="C5" s="11"/>
      <c r="D5" s="11"/>
      <c r="E5" s="11"/>
      <c r="F5" s="10" t="s">
        <v>75</v>
      </c>
      <c r="G5" s="13">
        <f>MIN($F$8:$F$15)</f>
        <v>71.764705882352942</v>
      </c>
      <c r="I5"/>
      <c r="J5"/>
      <c r="K5"/>
      <c r="L5"/>
      <c r="M5"/>
      <c r="X5" s="1"/>
      <c r="Y5" s="1"/>
      <c r="Z5" s="1"/>
      <c r="AA5" s="1"/>
      <c r="AB5" s="1"/>
    </row>
    <row r="6" spans="1:43" x14ac:dyDescent="0.25">
      <c r="B6" s="6"/>
      <c r="C6" s="11"/>
      <c r="D6" s="11"/>
      <c r="E6" s="11"/>
      <c r="F6" s="10" t="s">
        <v>76</v>
      </c>
      <c r="G6" s="12">
        <f>MIN($F$8:$F$15)</f>
        <v>71.764705882352942</v>
      </c>
      <c r="I6"/>
      <c r="J6"/>
      <c r="K6"/>
      <c r="L6"/>
      <c r="M6"/>
      <c r="X6" s="1"/>
      <c r="Y6" s="1"/>
      <c r="Z6" s="1"/>
      <c r="AA6" s="1"/>
      <c r="AB6" s="1"/>
    </row>
    <row r="7" spans="1:43" x14ac:dyDescent="0.25">
      <c r="F7" s="10" t="s">
        <v>74</v>
      </c>
      <c r="G7" s="1">
        <v>92</v>
      </c>
      <c r="H7" t="s">
        <v>13</v>
      </c>
      <c r="I7" s="1" t="s">
        <v>6</v>
      </c>
      <c r="J7" s="1" t="s">
        <v>6</v>
      </c>
      <c r="K7" s="1" t="s">
        <v>8</v>
      </c>
      <c r="L7" s="1" t="s">
        <v>8</v>
      </c>
      <c r="M7" s="1" t="s">
        <v>6</v>
      </c>
      <c r="N7" s="1" t="s">
        <v>8</v>
      </c>
      <c r="O7" s="1" t="s">
        <v>8</v>
      </c>
      <c r="P7" s="1" t="s">
        <v>6</v>
      </c>
      <c r="Q7" s="1" t="s">
        <v>5</v>
      </c>
      <c r="R7" s="1" t="s">
        <v>5</v>
      </c>
      <c r="S7" s="1" t="s">
        <v>7</v>
      </c>
      <c r="T7" s="1" t="s">
        <v>6</v>
      </c>
      <c r="U7" s="1" t="s">
        <v>6</v>
      </c>
      <c r="V7" s="1" t="s">
        <v>6</v>
      </c>
      <c r="W7" s="1" t="s">
        <v>6</v>
      </c>
      <c r="X7" s="1" t="s">
        <v>8</v>
      </c>
      <c r="Y7" s="1" t="s">
        <v>6</v>
      </c>
      <c r="Z7" s="1" t="s">
        <v>7</v>
      </c>
      <c r="AA7" s="1" t="s">
        <v>8</v>
      </c>
      <c r="AB7" s="1" t="s">
        <v>8</v>
      </c>
      <c r="AC7" s="1" t="s">
        <v>6</v>
      </c>
      <c r="AD7" s="1" t="s">
        <v>8</v>
      </c>
      <c r="AE7" s="1" t="s">
        <v>7</v>
      </c>
      <c r="AF7" s="1" t="s">
        <v>6</v>
      </c>
      <c r="AG7" s="1" t="s">
        <v>7</v>
      </c>
      <c r="AH7" s="1" t="s">
        <v>10</v>
      </c>
      <c r="AI7" s="1" t="s">
        <v>11</v>
      </c>
      <c r="AJ7" s="1" t="s">
        <v>11</v>
      </c>
      <c r="AK7" s="1" t="s">
        <v>10</v>
      </c>
      <c r="AL7" s="1" t="s">
        <v>11</v>
      </c>
      <c r="AM7" s="1" t="s">
        <v>11</v>
      </c>
      <c r="AN7" s="1" t="s">
        <v>11</v>
      </c>
      <c r="AO7" s="1" t="s">
        <v>10</v>
      </c>
      <c r="AP7" s="1" t="s">
        <v>11</v>
      </c>
      <c r="AQ7" s="1" t="s">
        <v>10</v>
      </c>
    </row>
    <row r="8" spans="1:43" x14ac:dyDescent="0.25">
      <c r="A8" t="s">
        <v>12</v>
      </c>
      <c r="B8" s="7">
        <v>46.7</v>
      </c>
      <c r="C8" s="1" cm="1">
        <f t="array" ref="C8">SUMPRODUCT(--(I8:AG8=$I$7:$AG$7))</f>
        <v>19</v>
      </c>
      <c r="D8" s="1" cm="1">
        <f t="array" ref="D8">SUMPRODUCT(--(AH8:AQ8=$AH$7:$AQ$7))</f>
        <v>7</v>
      </c>
      <c r="E8" s="3">
        <f t="shared" ref="E8" si="0">C8*3+D8</f>
        <v>64</v>
      </c>
      <c r="F8" s="7">
        <f t="shared" ref="F8" si="1">E8*100/85</f>
        <v>75.294117647058826</v>
      </c>
      <c r="G8" s="7">
        <f>MIN($G$7*$C$2, MAX($G$5, $G$5 + (($G$7*$C$2 - $G$5) * (F8 - $G$6) / (MAX($F$8:$F$15)-$G$6))))</f>
        <v>74.147700534759366</v>
      </c>
      <c r="H8" s="1">
        <v>1</v>
      </c>
      <c r="I8" s="1" t="s">
        <v>8</v>
      </c>
      <c r="J8" s="1" t="s">
        <v>6</v>
      </c>
      <c r="K8" s="1" t="s">
        <v>8</v>
      </c>
      <c r="L8" s="1" t="s">
        <v>8</v>
      </c>
      <c r="M8" s="1" t="s">
        <v>6</v>
      </c>
      <c r="N8" s="1" t="s">
        <v>8</v>
      </c>
      <c r="O8" s="1" t="s">
        <v>8</v>
      </c>
      <c r="P8" s="1" t="s">
        <v>6</v>
      </c>
      <c r="Q8" s="1" t="s">
        <v>5</v>
      </c>
      <c r="R8" s="1" t="s">
        <v>5</v>
      </c>
      <c r="S8" s="1" t="s">
        <v>7</v>
      </c>
      <c r="T8" s="1" t="s">
        <v>6</v>
      </c>
      <c r="U8" s="1" t="s">
        <v>6</v>
      </c>
      <c r="V8" s="1" t="s">
        <v>8</v>
      </c>
      <c r="W8" s="1" t="s">
        <v>6</v>
      </c>
      <c r="X8" s="1" t="s">
        <v>8</v>
      </c>
      <c r="Y8" s="1" t="s">
        <v>8</v>
      </c>
      <c r="Z8" s="1" t="s">
        <v>6</v>
      </c>
      <c r="AA8" s="1" t="s">
        <v>6</v>
      </c>
      <c r="AB8" s="1" t="s">
        <v>8</v>
      </c>
      <c r="AC8" s="1" t="s">
        <v>6</v>
      </c>
      <c r="AD8" s="1" t="s">
        <v>8</v>
      </c>
      <c r="AE8" s="1" t="s">
        <v>6</v>
      </c>
      <c r="AF8" s="1" t="s">
        <v>6</v>
      </c>
      <c r="AG8" s="1" t="s">
        <v>7</v>
      </c>
      <c r="AH8" s="1" t="s">
        <v>10</v>
      </c>
      <c r="AI8" s="1" t="s">
        <v>11</v>
      </c>
      <c r="AJ8" s="1" t="s">
        <v>10</v>
      </c>
      <c r="AK8" s="1" t="s">
        <v>10</v>
      </c>
      <c r="AL8" s="1" t="s">
        <v>11</v>
      </c>
      <c r="AM8" s="1" t="s">
        <v>10</v>
      </c>
      <c r="AN8" s="1" t="s">
        <v>11</v>
      </c>
      <c r="AO8" s="1" t="s">
        <v>10</v>
      </c>
      <c r="AP8" s="1" t="s">
        <v>11</v>
      </c>
      <c r="AQ8" s="1" t="s">
        <v>11</v>
      </c>
    </row>
    <row r="9" spans="1:43" x14ac:dyDescent="0.25">
      <c r="A9" t="s">
        <v>14</v>
      </c>
      <c r="B9" s="7">
        <v>63.3</v>
      </c>
      <c r="C9" s="1" cm="1">
        <f t="array" ref="C9">SUMPRODUCT(--(I9:AG9=$I$7:$AG$7))</f>
        <v>25</v>
      </c>
      <c r="D9" s="1" cm="1">
        <f t="array" ref="D9">SUMPRODUCT(--(AH9:AQ9=$AH$7:$AQ$7))</f>
        <v>8</v>
      </c>
      <c r="E9" s="3">
        <f t="shared" ref="E9:E15" si="2">C9*3+D9</f>
        <v>83</v>
      </c>
      <c r="F9" s="7">
        <f t="shared" ref="F9:F15" si="3">E9*100/85</f>
        <v>97.647058823529406</v>
      </c>
      <c r="G9" s="7">
        <f t="shared" ref="G9:G15" si="4">MIN($G$7*$C$2, MAX($G$5, $G$5 + (($G$7*$C$2 - $G$5) * (F9 - $G$6) / (MAX($F$8:$F$15)-$G$6))))</f>
        <v>89.24</v>
      </c>
      <c r="H9" s="1">
        <v>1</v>
      </c>
      <c r="I9" s="1" t="s">
        <v>6</v>
      </c>
      <c r="J9" s="1" t="s">
        <v>6</v>
      </c>
      <c r="K9" s="1" t="s">
        <v>8</v>
      </c>
      <c r="L9" s="1" t="s">
        <v>8</v>
      </c>
      <c r="M9" s="1" t="s">
        <v>6</v>
      </c>
      <c r="N9" s="1" t="s">
        <v>8</v>
      </c>
      <c r="O9" s="1" t="s">
        <v>8</v>
      </c>
      <c r="P9" s="1" t="s">
        <v>6</v>
      </c>
      <c r="Q9" s="1" t="s">
        <v>5</v>
      </c>
      <c r="R9" s="1" t="s">
        <v>5</v>
      </c>
      <c r="S9" s="1" t="s">
        <v>7</v>
      </c>
      <c r="T9" s="1" t="s">
        <v>6</v>
      </c>
      <c r="U9" s="1" t="s">
        <v>6</v>
      </c>
      <c r="V9" s="1" t="s">
        <v>6</v>
      </c>
      <c r="W9" s="1" t="s">
        <v>6</v>
      </c>
      <c r="X9" s="1" t="s">
        <v>8</v>
      </c>
      <c r="Y9" s="1" t="s">
        <v>6</v>
      </c>
      <c r="Z9" s="1" t="s">
        <v>7</v>
      </c>
      <c r="AA9" s="1" t="s">
        <v>8</v>
      </c>
      <c r="AB9" s="1" t="s">
        <v>8</v>
      </c>
      <c r="AC9" s="1" t="s">
        <v>6</v>
      </c>
      <c r="AD9" s="1" t="s">
        <v>8</v>
      </c>
      <c r="AE9" s="1" t="s">
        <v>7</v>
      </c>
      <c r="AF9" s="1" t="s">
        <v>6</v>
      </c>
      <c r="AG9" s="1" t="s">
        <v>7</v>
      </c>
      <c r="AH9" s="1" t="s">
        <v>10</v>
      </c>
      <c r="AI9" s="1" t="s">
        <v>11</v>
      </c>
      <c r="AJ9" s="1" t="s">
        <v>10</v>
      </c>
      <c r="AK9" s="1" t="s">
        <v>10</v>
      </c>
      <c r="AL9" s="1" t="s">
        <v>11</v>
      </c>
      <c r="AM9" s="1" t="s">
        <v>10</v>
      </c>
      <c r="AN9" s="1" t="s">
        <v>11</v>
      </c>
      <c r="AO9" s="1" t="s">
        <v>10</v>
      </c>
      <c r="AP9" s="1" t="s">
        <v>11</v>
      </c>
      <c r="AQ9" s="1" t="s">
        <v>10</v>
      </c>
    </row>
    <row r="10" spans="1:43" x14ac:dyDescent="0.25">
      <c r="A10" t="s">
        <v>15</v>
      </c>
      <c r="B10" s="7">
        <v>40</v>
      </c>
      <c r="C10" s="1" cm="1">
        <f t="array" ref="C10">SUMPRODUCT(--(I10:AG10=$I$7:$AG$7))</f>
        <v>19</v>
      </c>
      <c r="D10" s="1" cm="1">
        <f t="array" ref="D10">SUMPRODUCT(--(AH10:AQ10=$AH$7:$AQ$7))</f>
        <v>6</v>
      </c>
      <c r="E10" s="3">
        <f t="shared" si="2"/>
        <v>63</v>
      </c>
      <c r="F10" s="7">
        <f t="shared" si="3"/>
        <v>74.117647058823536</v>
      </c>
      <c r="G10" s="7">
        <f t="shared" si="4"/>
        <v>73.353368983957225</v>
      </c>
      <c r="H10" s="1">
        <v>1</v>
      </c>
      <c r="I10" s="1" t="s">
        <v>6</v>
      </c>
      <c r="J10" s="1" t="s">
        <v>6</v>
      </c>
      <c r="K10" s="1" t="s">
        <v>8</v>
      </c>
      <c r="L10" s="1" t="s">
        <v>8</v>
      </c>
      <c r="M10" s="1" t="s">
        <v>6</v>
      </c>
      <c r="N10" s="1" t="s">
        <v>8</v>
      </c>
      <c r="O10" s="1" t="s">
        <v>8</v>
      </c>
      <c r="P10" s="1" t="s">
        <v>5</v>
      </c>
      <c r="Q10" s="1" t="s">
        <v>5</v>
      </c>
      <c r="R10" s="1" t="s">
        <v>6</v>
      </c>
      <c r="S10" s="1" t="s">
        <v>7</v>
      </c>
      <c r="T10" s="1" t="s">
        <v>7</v>
      </c>
      <c r="U10" s="1" t="s">
        <v>6</v>
      </c>
      <c r="V10" s="1" t="s">
        <v>5</v>
      </c>
      <c r="W10" s="1" t="s">
        <v>6</v>
      </c>
      <c r="X10" s="1" t="s">
        <v>8</v>
      </c>
      <c r="Y10" s="1" t="s">
        <v>8</v>
      </c>
      <c r="Z10" s="1" t="s">
        <v>7</v>
      </c>
      <c r="AA10" s="1" t="s">
        <v>8</v>
      </c>
      <c r="AB10" s="1" t="s">
        <v>8</v>
      </c>
      <c r="AC10" s="1" t="s">
        <v>6</v>
      </c>
      <c r="AD10" s="1" t="s">
        <v>8</v>
      </c>
      <c r="AE10" s="1" t="s">
        <v>7</v>
      </c>
      <c r="AF10" s="1" t="s">
        <v>6</v>
      </c>
      <c r="AG10" s="1" t="s">
        <v>5</v>
      </c>
      <c r="AH10" s="1" t="s">
        <v>10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10</v>
      </c>
      <c r="AN10" s="1" t="s">
        <v>11</v>
      </c>
      <c r="AO10" s="1" t="s">
        <v>10</v>
      </c>
      <c r="AP10" s="1" t="s">
        <v>10</v>
      </c>
      <c r="AQ10" s="1" t="s">
        <v>11</v>
      </c>
    </row>
    <row r="11" spans="1:43" x14ac:dyDescent="0.25">
      <c r="A11" t="s">
        <v>16</v>
      </c>
      <c r="B11" s="7">
        <v>53.3</v>
      </c>
      <c r="C11" s="1" cm="1">
        <f t="array" ref="C11">SUMPRODUCT(--(I11:AG11=$I$7:$AG$7))</f>
        <v>23</v>
      </c>
      <c r="D11" s="1" cm="1">
        <f t="array" ref="D11">SUMPRODUCT(--(AH11:AQ11=$AH$7:$AQ$7))</f>
        <v>8</v>
      </c>
      <c r="E11" s="3">
        <f t="shared" si="2"/>
        <v>77</v>
      </c>
      <c r="F11" s="7">
        <f t="shared" si="3"/>
        <v>90.588235294117652</v>
      </c>
      <c r="G11" s="7">
        <f t="shared" si="4"/>
        <v>84.474010695187161</v>
      </c>
      <c r="H11" s="1">
        <v>1</v>
      </c>
      <c r="I11" s="1" t="s">
        <v>6</v>
      </c>
      <c r="J11" s="1" t="s">
        <v>6</v>
      </c>
      <c r="K11" s="1" t="s">
        <v>8</v>
      </c>
      <c r="L11" s="1" t="s">
        <v>8</v>
      </c>
      <c r="M11" s="1" t="s">
        <v>6</v>
      </c>
      <c r="N11" s="1" t="s">
        <v>8</v>
      </c>
      <c r="O11" s="1" t="s">
        <v>8</v>
      </c>
      <c r="P11" s="1" t="s">
        <v>6</v>
      </c>
      <c r="Q11" s="1" t="s">
        <v>5</v>
      </c>
      <c r="R11" s="1" t="s">
        <v>5</v>
      </c>
      <c r="S11" s="1" t="s">
        <v>7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8</v>
      </c>
      <c r="Y11" s="1" t="s">
        <v>6</v>
      </c>
      <c r="Z11" s="1" t="s">
        <v>7</v>
      </c>
      <c r="AA11" s="1" t="s">
        <v>8</v>
      </c>
      <c r="AB11" s="1" t="s">
        <v>6</v>
      </c>
      <c r="AC11" s="1" t="s">
        <v>6</v>
      </c>
      <c r="AD11" s="1" t="s">
        <v>6</v>
      </c>
      <c r="AE11" s="1" t="s">
        <v>7</v>
      </c>
      <c r="AF11" s="1" t="s">
        <v>6</v>
      </c>
      <c r="AG11" s="1" t="s">
        <v>7</v>
      </c>
      <c r="AH11" s="1" t="s">
        <v>11</v>
      </c>
      <c r="AI11" s="1" t="s">
        <v>11</v>
      </c>
      <c r="AJ11" s="1" t="s">
        <v>11</v>
      </c>
      <c r="AK11" s="1" t="s">
        <v>10</v>
      </c>
      <c r="AL11" s="1" t="s">
        <v>11</v>
      </c>
      <c r="AM11" s="1" t="s">
        <v>10</v>
      </c>
      <c r="AN11" s="1" t="s">
        <v>11</v>
      </c>
      <c r="AO11" s="1" t="s">
        <v>10</v>
      </c>
      <c r="AP11" s="1" t="s">
        <v>11</v>
      </c>
      <c r="AQ11" s="1" t="s">
        <v>10</v>
      </c>
    </row>
    <row r="12" spans="1:43" x14ac:dyDescent="0.25">
      <c r="A12" t="s">
        <v>17</v>
      </c>
      <c r="B12" s="7">
        <v>50</v>
      </c>
      <c r="C12" s="1" cm="1">
        <f t="array" ref="C12">SUMPRODUCT(--(I12:AG12=$I$7:$AG$7))</f>
        <v>22</v>
      </c>
      <c r="D12" s="1" cm="1">
        <f t="array" ref="D12">SUMPRODUCT(--(AH12:AQ12=$AH$7:$AQ$7))</f>
        <v>5</v>
      </c>
      <c r="E12" s="3">
        <f t="shared" si="2"/>
        <v>71</v>
      </c>
      <c r="F12" s="7">
        <f t="shared" si="3"/>
        <v>83.529411764705884</v>
      </c>
      <c r="G12" s="7">
        <f t="shared" si="4"/>
        <v>79.708021390374327</v>
      </c>
      <c r="H12" s="1">
        <v>1</v>
      </c>
      <c r="I12" s="1" t="s">
        <v>8</v>
      </c>
      <c r="J12" s="1" t="s">
        <v>6</v>
      </c>
      <c r="K12" s="1" t="s">
        <v>8</v>
      </c>
      <c r="L12" s="1" t="s">
        <v>8</v>
      </c>
      <c r="M12" s="1" t="s">
        <v>6</v>
      </c>
      <c r="N12" s="1" t="s">
        <v>8</v>
      </c>
      <c r="O12" s="1" t="s">
        <v>8</v>
      </c>
      <c r="P12" s="1" t="s">
        <v>6</v>
      </c>
      <c r="Q12" s="1" t="s">
        <v>5</v>
      </c>
      <c r="R12" s="1" t="s">
        <v>5</v>
      </c>
      <c r="S12" s="1" t="s">
        <v>7</v>
      </c>
      <c r="T12" s="1" t="s">
        <v>5</v>
      </c>
      <c r="U12" s="1" t="s">
        <v>6</v>
      </c>
      <c r="V12" s="1" t="s">
        <v>6</v>
      </c>
      <c r="W12" s="1" t="s">
        <v>6</v>
      </c>
      <c r="X12" s="1" t="s">
        <v>8</v>
      </c>
      <c r="Y12" s="1" t="s">
        <v>6</v>
      </c>
      <c r="Z12" s="1" t="s">
        <v>7</v>
      </c>
      <c r="AA12" s="1" t="s">
        <v>8</v>
      </c>
      <c r="AB12" s="1" t="s">
        <v>8</v>
      </c>
      <c r="AC12" s="1" t="s">
        <v>6</v>
      </c>
      <c r="AD12" s="1" t="s">
        <v>8</v>
      </c>
      <c r="AE12" s="1" t="s">
        <v>6</v>
      </c>
      <c r="AF12" s="1" t="s">
        <v>6</v>
      </c>
      <c r="AG12" s="1" t="s">
        <v>7</v>
      </c>
      <c r="AH12" s="1" t="s">
        <v>10</v>
      </c>
      <c r="AI12" s="1" t="s">
        <v>11</v>
      </c>
      <c r="AJ12" s="1" t="s">
        <v>11</v>
      </c>
      <c r="AK12" s="1" t="s">
        <v>11</v>
      </c>
      <c r="AL12" s="1" t="s">
        <v>10</v>
      </c>
      <c r="AM12" s="1" t="s">
        <v>10</v>
      </c>
      <c r="AN12" s="1" t="s">
        <v>11</v>
      </c>
      <c r="AO12" s="1" t="s">
        <v>10</v>
      </c>
      <c r="AP12" s="1" t="s">
        <v>10</v>
      </c>
      <c r="AQ12" s="1" t="s">
        <v>11</v>
      </c>
    </row>
    <row r="13" spans="1:43" x14ac:dyDescent="0.25">
      <c r="A13" t="s">
        <v>18</v>
      </c>
      <c r="B13" s="7">
        <v>40</v>
      </c>
      <c r="C13" s="1" cm="1">
        <f t="array" ref="C13">SUMPRODUCT(--(I13:AG13=$I$7:$AG$7))</f>
        <v>19</v>
      </c>
      <c r="D13" s="1" cm="1">
        <f t="array" ref="D13">SUMPRODUCT(--(AH13:AQ13=$AH$7:$AQ$7))</f>
        <v>4</v>
      </c>
      <c r="E13" s="3">
        <f t="shared" si="2"/>
        <v>61</v>
      </c>
      <c r="F13" s="7">
        <f t="shared" si="3"/>
        <v>71.764705882352942</v>
      </c>
      <c r="G13" s="7">
        <f t="shared" si="4"/>
        <v>71.764705882352942</v>
      </c>
      <c r="H13" s="1">
        <v>1</v>
      </c>
      <c r="I13" s="1" t="s">
        <v>6</v>
      </c>
      <c r="J13" s="1" t="s">
        <v>5</v>
      </c>
      <c r="K13" s="1" t="s">
        <v>8</v>
      </c>
      <c r="L13" s="1" t="s">
        <v>8</v>
      </c>
      <c r="M13" s="1" t="s">
        <v>6</v>
      </c>
      <c r="N13" s="1" t="s">
        <v>8</v>
      </c>
      <c r="O13" s="1" t="s">
        <v>8</v>
      </c>
      <c r="P13" s="1" t="s">
        <v>5</v>
      </c>
      <c r="Q13" s="1" t="s">
        <v>5</v>
      </c>
      <c r="R13" s="1" t="s">
        <v>5</v>
      </c>
      <c r="S13" s="1" t="s">
        <v>7</v>
      </c>
      <c r="T13" s="1" t="s">
        <v>7</v>
      </c>
      <c r="U13" s="1" t="s">
        <v>6</v>
      </c>
      <c r="V13" s="1" t="s">
        <v>6</v>
      </c>
      <c r="W13" s="1" t="s">
        <v>6</v>
      </c>
      <c r="X13" s="1" t="s">
        <v>8</v>
      </c>
      <c r="Y13" s="1" t="s">
        <v>4</v>
      </c>
      <c r="Z13" s="1" t="s">
        <v>7</v>
      </c>
      <c r="AA13" s="1" t="s">
        <v>8</v>
      </c>
      <c r="AB13" s="1" t="s">
        <v>8</v>
      </c>
      <c r="AC13" s="1" t="s">
        <v>6</v>
      </c>
      <c r="AD13" s="1" t="s">
        <v>6</v>
      </c>
      <c r="AE13" s="1" t="s">
        <v>7</v>
      </c>
      <c r="AF13" s="1" t="s">
        <v>6</v>
      </c>
      <c r="AG13" s="1" t="s">
        <v>5</v>
      </c>
      <c r="AH13" s="1" t="s">
        <v>11</v>
      </c>
      <c r="AI13" s="1" t="s">
        <v>11</v>
      </c>
      <c r="AJ13" s="1" t="s">
        <v>10</v>
      </c>
      <c r="AK13" s="1" t="s">
        <v>11</v>
      </c>
      <c r="AL13" s="1" t="s">
        <v>10</v>
      </c>
      <c r="AM13" s="1" t="s">
        <v>11</v>
      </c>
      <c r="AN13" s="1" t="s">
        <v>11</v>
      </c>
      <c r="AO13" s="1" t="s">
        <v>10</v>
      </c>
      <c r="AP13" s="1" t="s">
        <v>10</v>
      </c>
      <c r="AQ13" s="1" t="s">
        <v>11</v>
      </c>
    </row>
    <row r="14" spans="1:43" x14ac:dyDescent="0.25">
      <c r="A14" t="s">
        <v>19</v>
      </c>
      <c r="B14" s="7">
        <v>56.7</v>
      </c>
      <c r="C14" s="1" cm="1">
        <f t="array" ref="C14">SUMPRODUCT(--(I14:AG14=$I$7:$AG$7))</f>
        <v>22</v>
      </c>
      <c r="D14" s="1" cm="1">
        <f t="array" ref="D14">SUMPRODUCT(--(AH14:AQ14=$AH$7:$AQ$7))</f>
        <v>8</v>
      </c>
      <c r="E14" s="3">
        <f t="shared" si="2"/>
        <v>74</v>
      </c>
      <c r="F14" s="7">
        <f t="shared" si="3"/>
        <v>87.058823529411768</v>
      </c>
      <c r="G14" s="7">
        <f t="shared" si="4"/>
        <v>82.091016042780751</v>
      </c>
      <c r="H14" s="1">
        <v>1</v>
      </c>
      <c r="I14" s="1" t="s">
        <v>6</v>
      </c>
      <c r="J14" s="1" t="s">
        <v>6</v>
      </c>
      <c r="K14" s="1" t="s">
        <v>8</v>
      </c>
      <c r="L14" s="1" t="s">
        <v>5</v>
      </c>
      <c r="M14" s="1" t="s">
        <v>6</v>
      </c>
      <c r="N14" s="1" t="s">
        <v>8</v>
      </c>
      <c r="O14" s="1" t="s">
        <v>8</v>
      </c>
      <c r="P14" s="1" t="s">
        <v>8</v>
      </c>
      <c r="Q14" s="1" t="s">
        <v>5</v>
      </c>
      <c r="R14" s="1" t="s">
        <v>5</v>
      </c>
      <c r="S14" s="1" t="s">
        <v>7</v>
      </c>
      <c r="T14" s="1" t="s">
        <v>6</v>
      </c>
      <c r="U14" s="1" t="s">
        <v>6</v>
      </c>
      <c r="V14" s="1" t="s">
        <v>6</v>
      </c>
      <c r="W14" s="1" t="s">
        <v>6</v>
      </c>
      <c r="X14" s="1" t="s">
        <v>8</v>
      </c>
      <c r="Y14" s="1" t="s">
        <v>6</v>
      </c>
      <c r="Z14" s="1" t="s">
        <v>7</v>
      </c>
      <c r="AA14" s="1" t="s">
        <v>8</v>
      </c>
      <c r="AB14" s="1" t="s">
        <v>8</v>
      </c>
      <c r="AC14" s="1" t="s">
        <v>6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11</v>
      </c>
      <c r="AI14" s="1" t="s">
        <v>11</v>
      </c>
      <c r="AJ14" s="1" t="s">
        <v>11</v>
      </c>
      <c r="AK14" s="1" t="s">
        <v>10</v>
      </c>
      <c r="AL14" s="1" t="s">
        <v>11</v>
      </c>
      <c r="AM14" s="1" t="s">
        <v>10</v>
      </c>
      <c r="AN14" s="1" t="s">
        <v>11</v>
      </c>
      <c r="AO14" s="1" t="s">
        <v>10</v>
      </c>
      <c r="AP14" s="1" t="s">
        <v>11</v>
      </c>
      <c r="AQ14" s="1" t="s">
        <v>10</v>
      </c>
    </row>
    <row r="15" spans="1:43" x14ac:dyDescent="0.25">
      <c r="A15" t="s">
        <v>20</v>
      </c>
      <c r="B15" s="7">
        <v>53.3</v>
      </c>
      <c r="C15" s="1" cm="1">
        <f t="array" ref="C15">SUMPRODUCT(--(I15:AG15=$I$7:$AG$7))</f>
        <v>23</v>
      </c>
      <c r="D15" s="1" cm="1">
        <f t="array" ref="D15">SUMPRODUCT(--(AH15:AQ15=$AH$7:$AQ$7))</f>
        <v>6</v>
      </c>
      <c r="E15" s="3">
        <f t="shared" si="2"/>
        <v>75</v>
      </c>
      <c r="F15" s="7">
        <f t="shared" si="3"/>
        <v>88.235294117647058</v>
      </c>
      <c r="G15" s="7">
        <f t="shared" si="4"/>
        <v>82.885347593582893</v>
      </c>
      <c r="H15" s="1">
        <v>1</v>
      </c>
      <c r="I15" s="1" t="s">
        <v>6</v>
      </c>
      <c r="J15" s="1" t="s">
        <v>6</v>
      </c>
      <c r="K15" s="1" t="s">
        <v>8</v>
      </c>
      <c r="L15" s="1" t="s">
        <v>8</v>
      </c>
      <c r="M15" s="1" t="s">
        <v>6</v>
      </c>
      <c r="N15" s="1" t="s">
        <v>8</v>
      </c>
      <c r="O15" s="1" t="s">
        <v>7</v>
      </c>
      <c r="P15" s="1" t="s">
        <v>6</v>
      </c>
      <c r="Q15" s="1" t="s">
        <v>5</v>
      </c>
      <c r="R15" s="1" t="s">
        <v>5</v>
      </c>
      <c r="S15" s="1" t="s">
        <v>7</v>
      </c>
      <c r="T15" s="1" t="s">
        <v>6</v>
      </c>
      <c r="U15" s="1" t="s">
        <v>6</v>
      </c>
      <c r="V15" s="1" t="s">
        <v>6</v>
      </c>
      <c r="W15" s="1" t="s">
        <v>6</v>
      </c>
      <c r="X15" s="1" t="s">
        <v>8</v>
      </c>
      <c r="Y15" s="1" t="s">
        <v>6</v>
      </c>
      <c r="Z15" s="1" t="s">
        <v>7</v>
      </c>
      <c r="AA15" s="1" t="s">
        <v>8</v>
      </c>
      <c r="AB15" s="1" t="s">
        <v>8</v>
      </c>
      <c r="AC15" s="1" t="s">
        <v>6</v>
      </c>
      <c r="AD15" s="1" t="s">
        <v>8</v>
      </c>
      <c r="AE15" s="1" t="s">
        <v>8</v>
      </c>
      <c r="AF15" s="1" t="s">
        <v>6</v>
      </c>
      <c r="AG15" s="1" t="s">
        <v>7</v>
      </c>
      <c r="AH15" s="1" t="s">
        <v>10</v>
      </c>
      <c r="AI15" s="1" t="s">
        <v>11</v>
      </c>
      <c r="AJ15" s="1" t="s">
        <v>10</v>
      </c>
      <c r="AK15" s="1" t="s">
        <v>10</v>
      </c>
      <c r="AL15" s="1" t="s">
        <v>11</v>
      </c>
      <c r="AM15" s="1" t="s">
        <v>10</v>
      </c>
      <c r="AN15" s="1" t="s">
        <v>10</v>
      </c>
      <c r="AO15" s="1" t="s">
        <v>11</v>
      </c>
      <c r="AP15" s="1" t="s">
        <v>11</v>
      </c>
      <c r="AQ15" s="1" t="s">
        <v>10</v>
      </c>
    </row>
    <row r="16" spans="1:43" x14ac:dyDescent="0.25">
      <c r="B16" s="8"/>
      <c r="E16" s="9"/>
      <c r="F16" s="8"/>
      <c r="G16" s="7"/>
      <c r="H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B17" s="8"/>
      <c r="E17" s="9"/>
      <c r="F17" s="8"/>
      <c r="G17" s="7"/>
      <c r="H17" t="s">
        <v>13</v>
      </c>
      <c r="I17" s="1" t="s">
        <v>8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6</v>
      </c>
      <c r="O17" s="1" t="s">
        <v>8</v>
      </c>
      <c r="P17" s="1" t="s">
        <v>8</v>
      </c>
      <c r="Q17" s="1" t="s">
        <v>8</v>
      </c>
      <c r="R17" s="1" t="s">
        <v>6</v>
      </c>
      <c r="S17" s="1" t="s">
        <v>8</v>
      </c>
      <c r="T17" s="1" t="s">
        <v>5</v>
      </c>
      <c r="U17" s="1" t="s">
        <v>8</v>
      </c>
      <c r="V17" s="1" t="s">
        <v>8</v>
      </c>
      <c r="W17" s="1" t="s">
        <v>6</v>
      </c>
      <c r="X17" s="1" t="s">
        <v>6</v>
      </c>
      <c r="Y17" s="1" t="s">
        <v>7</v>
      </c>
      <c r="Z17" s="1" t="s">
        <v>5</v>
      </c>
      <c r="AA17" s="1" t="s">
        <v>6</v>
      </c>
      <c r="AB17" s="1" t="s">
        <v>5</v>
      </c>
      <c r="AC17" s="1" t="s">
        <v>7</v>
      </c>
      <c r="AD17" s="1" t="s">
        <v>6</v>
      </c>
      <c r="AE17" s="1" t="s">
        <v>8</v>
      </c>
      <c r="AF17" s="1" t="s">
        <v>6</v>
      </c>
      <c r="AG17" s="1" t="s">
        <v>7</v>
      </c>
      <c r="AH17" s="1" t="s">
        <v>11</v>
      </c>
      <c r="AI17" s="1" t="s">
        <v>11</v>
      </c>
      <c r="AJ17" s="1" t="s">
        <v>11</v>
      </c>
      <c r="AK17" s="1" t="s">
        <v>11</v>
      </c>
      <c r="AL17" s="1" t="s">
        <v>10</v>
      </c>
      <c r="AM17" s="1" t="s">
        <v>10</v>
      </c>
      <c r="AN17" s="1" t="s">
        <v>11</v>
      </c>
      <c r="AO17" s="1" t="s">
        <v>10</v>
      </c>
      <c r="AP17" s="1" t="s">
        <v>11</v>
      </c>
      <c r="AQ17" s="1" t="s">
        <v>11</v>
      </c>
    </row>
    <row r="18" spans="1:43" x14ac:dyDescent="0.25">
      <c r="A18" t="s">
        <v>22</v>
      </c>
      <c r="B18" s="7">
        <v>59.8</v>
      </c>
      <c r="C18" s="1" cm="1">
        <f t="array" ref="C18">SUMPRODUCT(--(I18:AG18=$I$17:$AG$17))</f>
        <v>13</v>
      </c>
      <c r="D18" s="1" cm="1">
        <f t="array" ref="D18">SUMPRODUCT(--(AH18:AQ18=$AH$17:$AQ$17))</f>
        <v>4</v>
      </c>
      <c r="E18" s="3">
        <f t="shared" ref="E18" si="5">C18*3+D18</f>
        <v>43</v>
      </c>
      <c r="F18" s="7">
        <f t="shared" ref="F18" si="6">E18*100/85</f>
        <v>50.588235294117645</v>
      </c>
      <c r="G18" s="7">
        <f>F18</f>
        <v>50.588235294117645</v>
      </c>
      <c r="H18" s="1">
        <v>2</v>
      </c>
      <c r="I18" s="1" t="s">
        <v>8</v>
      </c>
      <c r="J18" s="1" t="s">
        <v>7</v>
      </c>
      <c r="K18" s="1" t="s">
        <v>5</v>
      </c>
      <c r="L18" s="1" t="s">
        <v>4</v>
      </c>
      <c r="M18" s="1" t="s">
        <v>7</v>
      </c>
      <c r="N18" s="1" t="s">
        <v>6</v>
      </c>
      <c r="O18" s="1" t="s">
        <v>8</v>
      </c>
      <c r="P18" s="1" t="s">
        <v>8</v>
      </c>
      <c r="Q18" s="1" t="s">
        <v>8</v>
      </c>
      <c r="R18" s="1" t="s">
        <v>6</v>
      </c>
      <c r="S18" s="1" t="s">
        <v>5</v>
      </c>
      <c r="T18" s="1" t="s">
        <v>4</v>
      </c>
      <c r="U18" s="1" t="s">
        <v>5</v>
      </c>
      <c r="V18" s="1" t="s">
        <v>5</v>
      </c>
      <c r="W18" s="1" t="s">
        <v>7</v>
      </c>
      <c r="X18" s="1" t="s">
        <v>6</v>
      </c>
      <c r="Y18" s="1" t="s">
        <v>5</v>
      </c>
      <c r="Z18" s="1" t="s">
        <v>5</v>
      </c>
      <c r="AA18" s="1" t="s">
        <v>7</v>
      </c>
      <c r="AB18" s="1" t="s">
        <v>5</v>
      </c>
      <c r="AC18" s="1" t="s">
        <v>5</v>
      </c>
      <c r="AD18" s="1" t="s">
        <v>6</v>
      </c>
      <c r="AE18" s="1" t="s">
        <v>8</v>
      </c>
      <c r="AF18" s="1" t="s">
        <v>6</v>
      </c>
      <c r="AG18" s="1" t="s">
        <v>6</v>
      </c>
      <c r="AH18" s="1" t="s">
        <v>11</v>
      </c>
      <c r="AI18" s="1" t="s">
        <v>10</v>
      </c>
      <c r="AJ18" s="1" t="s">
        <v>10</v>
      </c>
      <c r="AK18" s="1" t="s">
        <v>10</v>
      </c>
      <c r="AL18" s="1" t="s">
        <v>10</v>
      </c>
      <c r="AM18" s="1" t="s">
        <v>11</v>
      </c>
      <c r="AN18" s="1" t="s">
        <v>10</v>
      </c>
      <c r="AO18" s="1" t="s">
        <v>11</v>
      </c>
      <c r="AP18" s="1" t="s">
        <v>11</v>
      </c>
      <c r="AQ18" s="1" t="s">
        <v>11</v>
      </c>
    </row>
    <row r="19" spans="1:43" x14ac:dyDescent="0.25">
      <c r="A19" t="s">
        <v>23</v>
      </c>
      <c r="B19" s="7">
        <v>25.6</v>
      </c>
      <c r="C19" s="1" cm="1">
        <f t="array" ref="C19">SUMPRODUCT(--(I19:AG19=$I$17:$AG$17))</f>
        <v>13</v>
      </c>
      <c r="D19" s="1" cm="1">
        <f t="array" ref="D19">SUMPRODUCT(--(AH19:AQ19=$AH$17:$AQ$17))</f>
        <v>7</v>
      </c>
      <c r="E19" s="3">
        <f t="shared" ref="E19" si="7">C19*3+D19</f>
        <v>46</v>
      </c>
      <c r="F19" s="7">
        <f t="shared" ref="F19" si="8">E19*100/85</f>
        <v>54.117647058823529</v>
      </c>
      <c r="G19" s="7">
        <f>F19</f>
        <v>54.117647058823529</v>
      </c>
      <c r="H19" s="1">
        <v>2</v>
      </c>
      <c r="I19" s="1" t="s">
        <v>6</v>
      </c>
      <c r="J19" s="1" t="s">
        <v>8</v>
      </c>
      <c r="K19" s="1" t="s">
        <v>6</v>
      </c>
      <c r="L19" s="1" t="s">
        <v>8</v>
      </c>
      <c r="M19" s="1" t="s">
        <v>6</v>
      </c>
      <c r="N19" s="1" t="s">
        <v>6</v>
      </c>
      <c r="O19" s="1" t="s">
        <v>8</v>
      </c>
      <c r="P19" s="1" t="s">
        <v>8</v>
      </c>
      <c r="Q19" s="1" t="s">
        <v>5</v>
      </c>
      <c r="R19" s="1" t="s">
        <v>6</v>
      </c>
      <c r="S19" s="1" t="s">
        <v>6</v>
      </c>
      <c r="T19" s="1" t="s">
        <v>5</v>
      </c>
      <c r="U19" s="1" t="s">
        <v>8</v>
      </c>
      <c r="V19" s="1" t="s">
        <v>7</v>
      </c>
      <c r="W19" s="1" t="s">
        <v>6</v>
      </c>
      <c r="X19" s="1" t="s">
        <v>6</v>
      </c>
      <c r="Y19" s="1" t="s">
        <v>6</v>
      </c>
      <c r="Z19" s="1" t="s">
        <v>5</v>
      </c>
      <c r="AA19" s="1" t="s">
        <v>7</v>
      </c>
      <c r="AB19" s="1" t="s">
        <v>5</v>
      </c>
      <c r="AC19" s="1" t="s">
        <v>8</v>
      </c>
      <c r="AD19" s="1" t="s">
        <v>5</v>
      </c>
      <c r="AE19" s="1" t="s">
        <v>8</v>
      </c>
      <c r="AF19" s="1" t="s">
        <v>6</v>
      </c>
      <c r="AG19" s="1" t="s">
        <v>6</v>
      </c>
      <c r="AH19" s="1" t="s">
        <v>11</v>
      </c>
      <c r="AI19" s="1" t="s">
        <v>10</v>
      </c>
      <c r="AJ19" s="1" t="s">
        <v>11</v>
      </c>
      <c r="AK19" s="1" t="s">
        <v>11</v>
      </c>
      <c r="AL19" s="1" t="s">
        <v>10</v>
      </c>
      <c r="AM19" s="1" t="s">
        <v>10</v>
      </c>
      <c r="AN19" s="1" t="s">
        <v>11</v>
      </c>
      <c r="AO19" s="1" t="s">
        <v>11</v>
      </c>
      <c r="AP19" s="1" t="s">
        <v>11</v>
      </c>
      <c r="AQ19" s="1" t="s">
        <v>10</v>
      </c>
    </row>
    <row r="20" spans="1:43" x14ac:dyDescent="0.25">
      <c r="B20" s="8"/>
      <c r="E20" s="9"/>
      <c r="F20" s="8"/>
      <c r="G20" s="7"/>
      <c r="H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B21" s="8"/>
      <c r="E21" s="9"/>
      <c r="F21" s="8"/>
      <c r="G21" s="7"/>
      <c r="H21" t="s">
        <v>13</v>
      </c>
      <c r="I21" s="1" t="s">
        <v>7</v>
      </c>
      <c r="J21" s="1" t="s">
        <v>8</v>
      </c>
      <c r="K21" s="1" t="s">
        <v>7</v>
      </c>
      <c r="L21" s="1" t="s">
        <v>8</v>
      </c>
      <c r="M21" s="1" t="s">
        <v>6</v>
      </c>
      <c r="N21" s="1" t="s">
        <v>6</v>
      </c>
      <c r="O21" s="1" t="s">
        <v>5</v>
      </c>
      <c r="P21" s="1" t="s">
        <v>6</v>
      </c>
      <c r="Q21" s="1" t="s">
        <v>5</v>
      </c>
      <c r="R21" s="1" t="s">
        <v>5</v>
      </c>
      <c r="S21" s="1" t="s">
        <v>8</v>
      </c>
      <c r="T21" s="1" t="s">
        <v>8</v>
      </c>
      <c r="U21" s="1" t="s">
        <v>6</v>
      </c>
      <c r="V21" s="1" t="s">
        <v>7</v>
      </c>
      <c r="W21" s="1" t="s">
        <v>6</v>
      </c>
      <c r="X21" s="1" t="s">
        <v>8</v>
      </c>
      <c r="Y21" s="1" t="s">
        <v>7</v>
      </c>
      <c r="Z21" s="1" t="s">
        <v>6</v>
      </c>
      <c r="AA21" s="1" t="s">
        <v>6</v>
      </c>
      <c r="AB21" s="1" t="s">
        <v>7</v>
      </c>
      <c r="AC21" s="1" t="s">
        <v>8</v>
      </c>
      <c r="AD21" s="1" t="s">
        <v>7</v>
      </c>
      <c r="AE21" s="1" t="s">
        <v>4</v>
      </c>
      <c r="AF21" s="1" t="s">
        <v>7</v>
      </c>
      <c r="AG21" s="1" t="s">
        <v>5</v>
      </c>
      <c r="AH21" s="1" t="s">
        <v>11</v>
      </c>
      <c r="AI21" s="1" t="s">
        <v>10</v>
      </c>
      <c r="AJ21" s="1" t="s">
        <v>11</v>
      </c>
      <c r="AK21" s="1" t="s">
        <v>11</v>
      </c>
      <c r="AL21" s="1" t="s">
        <v>10</v>
      </c>
      <c r="AM21" s="1" t="s">
        <v>11</v>
      </c>
      <c r="AN21" s="1" t="s">
        <v>11</v>
      </c>
      <c r="AO21" s="1" t="s">
        <v>11</v>
      </c>
      <c r="AP21" s="1" t="s">
        <v>10</v>
      </c>
      <c r="AQ21" s="1" t="s">
        <v>11</v>
      </c>
    </row>
    <row r="22" spans="1:43" x14ac:dyDescent="0.25">
      <c r="A22" t="s">
        <v>21</v>
      </c>
      <c r="B22" s="7">
        <v>29.4</v>
      </c>
      <c r="C22" s="1" cm="1">
        <f t="array" ref="C22">SUMPRODUCT(--(I22:AG22=$I$21:$AG$21))</f>
        <v>9</v>
      </c>
      <c r="D22" s="1" cm="1">
        <f t="array" ref="D22">SUMPRODUCT(--(AH22:AQ22=$AH$21:$AQ$21))</f>
        <v>7</v>
      </c>
      <c r="E22" s="3">
        <f t="shared" ref="E22" si="9">C22*3+D22</f>
        <v>34</v>
      </c>
      <c r="F22" s="7">
        <f t="shared" ref="F22" si="10">E22*100/85</f>
        <v>40</v>
      </c>
      <c r="G22" s="7">
        <f>F22</f>
        <v>40</v>
      </c>
      <c r="H22" s="1">
        <v>3</v>
      </c>
      <c r="I22" s="1" t="s">
        <v>5</v>
      </c>
      <c r="J22" s="1" t="s">
        <v>5</v>
      </c>
      <c r="K22" s="1" t="s">
        <v>7</v>
      </c>
      <c r="L22" s="1" t="s">
        <v>5</v>
      </c>
      <c r="N22" s="1" t="s">
        <v>8</v>
      </c>
      <c r="O22" s="1" t="s">
        <v>5</v>
      </c>
      <c r="P22" s="1" t="s">
        <v>6</v>
      </c>
      <c r="Q22" s="1" t="s">
        <v>6</v>
      </c>
      <c r="R22" s="1" t="s">
        <v>5</v>
      </c>
      <c r="S22" s="1" t="s">
        <v>8</v>
      </c>
      <c r="T22" s="1" t="s">
        <v>8</v>
      </c>
      <c r="U22" s="1" t="s">
        <v>4</v>
      </c>
      <c r="V22" s="1" t="s">
        <v>8</v>
      </c>
      <c r="W22" s="1" t="s">
        <v>6</v>
      </c>
      <c r="X22" s="1" t="s">
        <v>7</v>
      </c>
      <c r="Y22" s="1" t="s">
        <v>8</v>
      </c>
      <c r="Z22" s="1" t="s">
        <v>6</v>
      </c>
      <c r="AA22" s="1" t="s">
        <v>6</v>
      </c>
      <c r="AB22" s="1" t="s">
        <v>5</v>
      </c>
      <c r="AC22" s="1" t="s">
        <v>4</v>
      </c>
      <c r="AD22" s="1" t="s">
        <v>4</v>
      </c>
      <c r="AE22" s="1" t="s">
        <v>7</v>
      </c>
      <c r="AF22" s="1" t="s">
        <v>8</v>
      </c>
      <c r="AG22" s="1" t="s">
        <v>8</v>
      </c>
      <c r="AH22" s="1" t="s">
        <v>11</v>
      </c>
      <c r="AI22" s="1" t="s">
        <v>11</v>
      </c>
      <c r="AJ22" s="1" t="s">
        <v>11</v>
      </c>
      <c r="AK22" s="1" t="s">
        <v>11</v>
      </c>
      <c r="AL22" s="1" t="s">
        <v>10</v>
      </c>
      <c r="AM22" s="1" t="s">
        <v>11</v>
      </c>
      <c r="AN22" s="1" t="s">
        <v>11</v>
      </c>
      <c r="AO22" s="1" t="s">
        <v>10</v>
      </c>
      <c r="AP22" s="1" t="s">
        <v>11</v>
      </c>
      <c r="AQ22" s="1" t="s">
        <v>11</v>
      </c>
    </row>
    <row r="23" spans="1:43" x14ac:dyDescent="0.25">
      <c r="A23" t="s">
        <v>3</v>
      </c>
      <c r="B23" s="7">
        <v>51.8</v>
      </c>
      <c r="C23" s="1" cm="1">
        <f t="array" ref="C23">SUMPRODUCT(--(I23:AG23=$I$21:$AG$21))</f>
        <v>7</v>
      </c>
      <c r="D23" s="1" cm="1">
        <f t="array" ref="D23">SUMPRODUCT(--(AH23:AQ23=$AH$21:$AQ$21))</f>
        <v>6</v>
      </c>
      <c r="E23" s="3">
        <f t="shared" ref="E23:E26" si="11">C23*3+D23</f>
        <v>27</v>
      </c>
      <c r="F23" s="7">
        <f t="shared" ref="F23:F26" si="12">E23*100/85</f>
        <v>31.764705882352942</v>
      </c>
      <c r="G23" s="7">
        <f t="shared" ref="G23:G26" si="13">F23</f>
        <v>31.764705882352942</v>
      </c>
      <c r="H23" s="1">
        <v>3</v>
      </c>
      <c r="I23" s="1" t="s">
        <v>4</v>
      </c>
      <c r="J23" s="1" t="s">
        <v>5</v>
      </c>
      <c r="K23" s="1" t="s">
        <v>6</v>
      </c>
      <c r="L23" s="1" t="s">
        <v>4</v>
      </c>
      <c r="M23" s="1" t="s">
        <v>7</v>
      </c>
      <c r="N23" s="1" t="s">
        <v>8</v>
      </c>
      <c r="O23" s="1" t="s">
        <v>9</v>
      </c>
      <c r="P23" s="1" t="s">
        <v>8</v>
      </c>
      <c r="Q23" s="1" t="s">
        <v>5</v>
      </c>
      <c r="R23" s="1" t="s">
        <v>8</v>
      </c>
      <c r="S23" s="1" t="s">
        <v>8</v>
      </c>
      <c r="T23" s="1" t="s">
        <v>7</v>
      </c>
      <c r="U23" s="1" t="s">
        <v>5</v>
      </c>
      <c r="V23" s="1" t="s">
        <v>7</v>
      </c>
      <c r="W23" s="1" t="s">
        <v>6</v>
      </c>
      <c r="X23" s="1" t="s">
        <v>7</v>
      </c>
      <c r="Y23" s="1" t="s">
        <v>8</v>
      </c>
      <c r="Z23" s="1" t="s">
        <v>4</v>
      </c>
      <c r="AA23" s="1" t="s">
        <v>6</v>
      </c>
      <c r="AB23" s="1" t="s">
        <v>6</v>
      </c>
      <c r="AC23" s="1" t="s">
        <v>4</v>
      </c>
      <c r="AD23" s="1" t="s">
        <v>7</v>
      </c>
      <c r="AE23" s="1" t="s">
        <v>6</v>
      </c>
      <c r="AF23" s="1" t="s">
        <v>6</v>
      </c>
      <c r="AG23" s="1" t="s">
        <v>5</v>
      </c>
      <c r="AH23" s="1" t="s">
        <v>10</v>
      </c>
      <c r="AI23" s="1" t="s">
        <v>11</v>
      </c>
      <c r="AJ23" s="1" t="s">
        <v>11</v>
      </c>
      <c r="AK23" s="1" t="s">
        <v>11</v>
      </c>
      <c r="AL23" s="1" t="s">
        <v>11</v>
      </c>
      <c r="AM23" s="1" t="s">
        <v>11</v>
      </c>
      <c r="AN23" s="1" t="s">
        <v>11</v>
      </c>
      <c r="AO23" s="1" t="s">
        <v>11</v>
      </c>
      <c r="AP23" s="1" t="s">
        <v>11</v>
      </c>
      <c r="AQ23" s="1" t="s">
        <v>11</v>
      </c>
    </row>
    <row r="24" spans="1:43" x14ac:dyDescent="0.25">
      <c r="A24" t="s">
        <v>24</v>
      </c>
      <c r="B24" s="7">
        <v>48.2</v>
      </c>
      <c r="C24" s="1" cm="1">
        <f t="array" ref="C24">SUMPRODUCT(--(I24:AG24=$I$21:$AG$21))</f>
        <v>20</v>
      </c>
      <c r="D24" s="1" cm="1">
        <f t="array" ref="D24">SUMPRODUCT(--(AH24:AQ24=$AH$21:$AQ$21))</f>
        <v>8</v>
      </c>
      <c r="E24" s="3">
        <f t="shared" si="11"/>
        <v>68</v>
      </c>
      <c r="F24" s="7">
        <f t="shared" si="12"/>
        <v>80</v>
      </c>
      <c r="G24" s="7">
        <f>0.95*F24</f>
        <v>76</v>
      </c>
      <c r="H24" s="1">
        <v>3</v>
      </c>
      <c r="I24" s="1" t="s">
        <v>7</v>
      </c>
      <c r="J24" s="1" t="s">
        <v>8</v>
      </c>
      <c r="K24" s="1" t="s">
        <v>6</v>
      </c>
      <c r="L24" s="1" t="s">
        <v>8</v>
      </c>
      <c r="M24" s="1" t="s">
        <v>6</v>
      </c>
      <c r="N24" s="1" t="s">
        <v>8</v>
      </c>
      <c r="O24" s="1" t="s">
        <v>5</v>
      </c>
      <c r="P24" s="1" t="s">
        <v>6</v>
      </c>
      <c r="Q24" s="1" t="s">
        <v>5</v>
      </c>
      <c r="R24" s="1" t="s">
        <v>7</v>
      </c>
      <c r="S24" s="1" t="s">
        <v>7</v>
      </c>
      <c r="T24" s="1" t="s">
        <v>8</v>
      </c>
      <c r="U24" s="1" t="s">
        <v>6</v>
      </c>
      <c r="V24" s="1" t="s">
        <v>7</v>
      </c>
      <c r="W24" s="1" t="s">
        <v>6</v>
      </c>
      <c r="X24" s="1" t="s">
        <v>8</v>
      </c>
      <c r="Y24" s="1" t="s">
        <v>8</v>
      </c>
      <c r="Z24" s="1" t="s">
        <v>6</v>
      </c>
      <c r="AA24" s="1" t="s">
        <v>6</v>
      </c>
      <c r="AB24" s="1" t="s">
        <v>7</v>
      </c>
      <c r="AC24" s="1" t="s">
        <v>8</v>
      </c>
      <c r="AD24" s="1" t="s">
        <v>7</v>
      </c>
      <c r="AE24" s="1" t="s">
        <v>4</v>
      </c>
      <c r="AF24" s="1" t="s">
        <v>7</v>
      </c>
      <c r="AG24" s="1" t="s">
        <v>5</v>
      </c>
      <c r="AH24" s="1" t="s">
        <v>11</v>
      </c>
      <c r="AI24" s="1" t="s">
        <v>11</v>
      </c>
      <c r="AJ24" s="1" t="s">
        <v>11</v>
      </c>
      <c r="AK24" s="1" t="s">
        <v>11</v>
      </c>
      <c r="AL24" s="1" t="s">
        <v>10</v>
      </c>
      <c r="AM24" s="1" t="s">
        <v>11</v>
      </c>
      <c r="AN24" s="1" t="s">
        <v>11</v>
      </c>
      <c r="AO24" s="1" t="s">
        <v>11</v>
      </c>
      <c r="AP24" s="1" t="s">
        <v>10</v>
      </c>
      <c r="AQ24" s="1" t="s">
        <v>10</v>
      </c>
    </row>
    <row r="25" spans="1:43" x14ac:dyDescent="0.25">
      <c r="A25" t="s">
        <v>25</v>
      </c>
      <c r="B25" s="7">
        <v>55.3</v>
      </c>
      <c r="C25" s="1" cm="1">
        <f t="array" ref="C25">SUMPRODUCT(--(I25:AG25=$I$21:$AG$21))</f>
        <v>9</v>
      </c>
      <c r="D25" s="1" cm="1">
        <f t="array" ref="D25">SUMPRODUCT(--(AH25:AQ25=$AH$21:$AQ$21))</f>
        <v>6</v>
      </c>
      <c r="E25" s="3">
        <f t="shared" si="11"/>
        <v>33</v>
      </c>
      <c r="F25" s="7">
        <f t="shared" si="12"/>
        <v>38.823529411764703</v>
      </c>
      <c r="G25" s="7">
        <f t="shared" si="13"/>
        <v>38.823529411764703</v>
      </c>
      <c r="H25" s="1">
        <v>3</v>
      </c>
      <c r="I25" s="1" t="s">
        <v>5</v>
      </c>
      <c r="J25" s="1" t="s">
        <v>5</v>
      </c>
      <c r="K25" s="1" t="s">
        <v>7</v>
      </c>
      <c r="L25" s="1" t="s">
        <v>4</v>
      </c>
      <c r="M25" s="1" t="s">
        <v>5</v>
      </c>
      <c r="N25" s="1" t="s">
        <v>8</v>
      </c>
      <c r="O25" s="1" t="s">
        <v>5</v>
      </c>
      <c r="P25" s="1" t="s">
        <v>6</v>
      </c>
      <c r="Q25" s="1" t="s">
        <v>6</v>
      </c>
      <c r="R25" s="1" t="s">
        <v>7</v>
      </c>
      <c r="S25" s="1" t="s">
        <v>7</v>
      </c>
      <c r="T25" s="1" t="s">
        <v>8</v>
      </c>
      <c r="U25" s="1" t="s">
        <v>8</v>
      </c>
      <c r="V25" s="1" t="s">
        <v>5</v>
      </c>
      <c r="W25" s="1" t="s">
        <v>6</v>
      </c>
      <c r="X25" s="1" t="s">
        <v>7</v>
      </c>
      <c r="Y25" s="1" t="s">
        <v>7</v>
      </c>
      <c r="Z25" s="1" t="s">
        <v>5</v>
      </c>
      <c r="AA25" s="1" t="s">
        <v>7</v>
      </c>
      <c r="AB25" s="1" t="s">
        <v>5</v>
      </c>
      <c r="AC25" s="1" t="s">
        <v>8</v>
      </c>
      <c r="AD25" s="1" t="s">
        <v>7</v>
      </c>
      <c r="AE25" s="1" t="s">
        <v>6</v>
      </c>
      <c r="AF25" s="1" t="s">
        <v>7</v>
      </c>
      <c r="AG25" s="1" t="s">
        <v>8</v>
      </c>
      <c r="AH25" s="1" t="s">
        <v>11</v>
      </c>
      <c r="AI25" s="1" t="s">
        <v>10</v>
      </c>
      <c r="AJ25" s="1" t="s">
        <v>11</v>
      </c>
      <c r="AK25" s="1" t="s">
        <v>11</v>
      </c>
      <c r="AL25" s="1" t="s">
        <v>10</v>
      </c>
      <c r="AM25" s="1" t="s">
        <v>10</v>
      </c>
      <c r="AN25" s="1" t="s">
        <v>11</v>
      </c>
      <c r="AO25" s="1" t="s">
        <v>10</v>
      </c>
      <c r="AP25" s="1" t="s">
        <v>11</v>
      </c>
      <c r="AQ25" s="1" t="s">
        <v>10</v>
      </c>
    </row>
    <row r="26" spans="1:43" x14ac:dyDescent="0.25">
      <c r="A26" t="s">
        <v>26</v>
      </c>
      <c r="B26" s="7">
        <v>67.099999999999994</v>
      </c>
      <c r="C26" s="1" cm="1">
        <f t="array" ref="C26">SUMPRODUCT(--(I26:AG26=$I$21:$AG$21))</f>
        <v>13</v>
      </c>
      <c r="D26" s="1" cm="1">
        <f t="array" ref="D26">SUMPRODUCT(--(AH26:AQ26=$AH$21:$AQ$21))</f>
        <v>7</v>
      </c>
      <c r="E26" s="3">
        <f t="shared" si="11"/>
        <v>46</v>
      </c>
      <c r="F26" s="7">
        <f t="shared" si="12"/>
        <v>54.117647058823529</v>
      </c>
      <c r="G26" s="7">
        <f t="shared" si="13"/>
        <v>54.117647058823529</v>
      </c>
      <c r="H26" s="1">
        <v>3</v>
      </c>
      <c r="I26" s="1" t="s">
        <v>7</v>
      </c>
      <c r="J26" s="1" t="s">
        <v>8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5</v>
      </c>
      <c r="P26" s="1" t="s">
        <v>6</v>
      </c>
      <c r="Q26" s="1" t="s">
        <v>5</v>
      </c>
      <c r="R26" s="1" t="s">
        <v>5</v>
      </c>
      <c r="S26" s="1" t="s">
        <v>8</v>
      </c>
      <c r="T26" s="1" t="s">
        <v>8</v>
      </c>
      <c r="U26" s="1" t="s">
        <v>5</v>
      </c>
      <c r="V26" s="1" t="s">
        <v>5</v>
      </c>
      <c r="W26" s="1" t="s">
        <v>8</v>
      </c>
      <c r="X26" s="1" t="s">
        <v>6</v>
      </c>
      <c r="Y26" s="1" t="s">
        <v>8</v>
      </c>
      <c r="Z26" s="1" t="s">
        <v>7</v>
      </c>
      <c r="AA26" s="1" t="s">
        <v>6</v>
      </c>
      <c r="AB26" s="1" t="s">
        <v>6</v>
      </c>
      <c r="AC26" s="1" t="s">
        <v>5</v>
      </c>
      <c r="AD26" s="1" t="s">
        <v>8</v>
      </c>
      <c r="AE26" s="1" t="s">
        <v>7</v>
      </c>
      <c r="AF26" s="1" t="s">
        <v>7</v>
      </c>
      <c r="AG26" s="1" t="s">
        <v>5</v>
      </c>
      <c r="AH26" s="1" t="s">
        <v>11</v>
      </c>
      <c r="AI26" s="1" t="s">
        <v>11</v>
      </c>
      <c r="AJ26" s="1" t="s">
        <v>11</v>
      </c>
      <c r="AK26" s="1" t="s">
        <v>11</v>
      </c>
      <c r="AL26" s="1" t="s">
        <v>10</v>
      </c>
      <c r="AM26" s="1" t="s">
        <v>11</v>
      </c>
      <c r="AN26" s="1" t="s">
        <v>11</v>
      </c>
      <c r="AO26" s="1" t="s">
        <v>11</v>
      </c>
      <c r="AP26" s="1" t="s">
        <v>11</v>
      </c>
      <c r="AQ26" s="1" t="s">
        <v>10</v>
      </c>
    </row>
    <row r="29" spans="1:43" x14ac:dyDescent="0.25">
      <c r="E29" s="1">
        <v>1</v>
      </c>
      <c r="F29" s="1">
        <v>2</v>
      </c>
      <c r="G29" s="1"/>
      <c r="H29" s="1">
        <v>3</v>
      </c>
      <c r="O29" s="10" t="s">
        <v>67</v>
      </c>
      <c r="P29" s="1">
        <f>92*0.95</f>
        <v>87.399999999999991</v>
      </c>
      <c r="X29" s="1"/>
    </row>
    <row r="30" spans="1:43" x14ac:dyDescent="0.25">
      <c r="D30" s="1" t="s">
        <v>64</v>
      </c>
      <c r="I30"/>
      <c r="J30"/>
      <c r="K30"/>
      <c r="L30"/>
      <c r="M30"/>
      <c r="O30" s="10" t="s">
        <v>68</v>
      </c>
      <c r="P30" s="7">
        <f>MAX(F8:F15)-MIN(F8:F15)</f>
        <v>25.882352941176464</v>
      </c>
      <c r="X30" s="1"/>
      <c r="Y30" s="1"/>
      <c r="Z30" s="1"/>
      <c r="AA30" s="1"/>
      <c r="AB30" s="1"/>
      <c r="AC30" s="1"/>
    </row>
    <row r="31" spans="1:43" x14ac:dyDescent="0.25">
      <c r="D31" s="1">
        <v>1</v>
      </c>
      <c r="E31" s="1" t="s">
        <v>6</v>
      </c>
      <c r="F31" s="1" t="s">
        <v>8</v>
      </c>
      <c r="G31" s="1"/>
      <c r="H31" s="1" t="s">
        <v>7</v>
      </c>
      <c r="I31"/>
      <c r="J31"/>
      <c r="K31"/>
      <c r="L31"/>
      <c r="M31"/>
      <c r="O31" s="10" t="s">
        <v>71</v>
      </c>
      <c r="P31" s="7">
        <f>MIN(F8:F15)</f>
        <v>71.764705882352942</v>
      </c>
      <c r="X31" s="1"/>
      <c r="Y31" s="1"/>
      <c r="Z31" s="1"/>
      <c r="AA31" s="1"/>
      <c r="AB31" s="1"/>
      <c r="AC31" s="1"/>
    </row>
    <row r="32" spans="1:43" x14ac:dyDescent="0.25">
      <c r="D32" s="1">
        <v>2</v>
      </c>
      <c r="E32" s="1" t="s">
        <v>6</v>
      </c>
      <c r="F32" s="1" t="s">
        <v>7</v>
      </c>
      <c r="G32" s="1"/>
      <c r="H32" s="1" t="s">
        <v>8</v>
      </c>
      <c r="O32" s="10" t="s">
        <v>69</v>
      </c>
      <c r="P32" s="7">
        <f>P34-P31</f>
        <v>3.5352941176470551</v>
      </c>
      <c r="X32" s="1"/>
    </row>
    <row r="33" spans="1:24" x14ac:dyDescent="0.25">
      <c r="D33" s="1">
        <v>3</v>
      </c>
      <c r="E33" s="1" t="s">
        <v>8</v>
      </c>
      <c r="F33" s="1" t="s">
        <v>8</v>
      </c>
      <c r="G33" s="1"/>
      <c r="H33" s="1" t="s">
        <v>7</v>
      </c>
      <c r="O33" s="10" t="s">
        <v>72</v>
      </c>
      <c r="P33" s="1">
        <f>P32/P30*P29</f>
        <v>11.938045454545444</v>
      </c>
      <c r="X33" s="1"/>
    </row>
    <row r="34" spans="1:24" x14ac:dyDescent="0.25">
      <c r="A34" s="1"/>
      <c r="B34" s="1"/>
      <c r="D34" s="1">
        <v>4</v>
      </c>
      <c r="E34" s="1" t="s">
        <v>8</v>
      </c>
      <c r="F34" s="1" t="s">
        <v>8</v>
      </c>
      <c r="G34" s="1"/>
      <c r="H34" s="1" t="s">
        <v>8</v>
      </c>
      <c r="O34" s="1" t="s">
        <v>70</v>
      </c>
      <c r="P34" s="1">
        <v>75.3</v>
      </c>
      <c r="Q34" s="2"/>
      <c r="X34" s="1"/>
    </row>
    <row r="35" spans="1:24" x14ac:dyDescent="0.25">
      <c r="D35" s="1">
        <v>5</v>
      </c>
      <c r="E35" s="1" t="s">
        <v>6</v>
      </c>
      <c r="F35" s="1" t="s">
        <v>8</v>
      </c>
      <c r="G35" s="1"/>
      <c r="H35" s="1" t="s">
        <v>6</v>
      </c>
      <c r="P35" s="1">
        <f>0.9*92</f>
        <v>82.8</v>
      </c>
      <c r="X35" s="1"/>
    </row>
    <row r="36" spans="1:24" x14ac:dyDescent="0.25">
      <c r="D36" s="1">
        <v>6</v>
      </c>
      <c r="E36" s="1" t="s">
        <v>8</v>
      </c>
      <c r="F36" s="1" t="s">
        <v>6</v>
      </c>
      <c r="G36" s="1"/>
      <c r="H36" s="1" t="s">
        <v>6</v>
      </c>
      <c r="X36" s="1"/>
    </row>
    <row r="37" spans="1:24" x14ac:dyDescent="0.25">
      <c r="D37" s="1">
        <v>7</v>
      </c>
      <c r="E37" s="1" t="s">
        <v>8</v>
      </c>
      <c r="F37" s="1" t="s">
        <v>8</v>
      </c>
      <c r="G37" s="1"/>
      <c r="H37" s="1" t="s">
        <v>5</v>
      </c>
      <c r="X37" s="1"/>
    </row>
    <row r="38" spans="1:24" x14ac:dyDescent="0.25">
      <c r="D38" s="1">
        <v>8</v>
      </c>
      <c r="E38" s="1" t="s">
        <v>6</v>
      </c>
      <c r="F38" s="1" t="s">
        <v>8</v>
      </c>
      <c r="G38" s="1"/>
      <c r="H38" s="1" t="s">
        <v>6</v>
      </c>
      <c r="X38" s="1"/>
    </row>
    <row r="39" spans="1:24" x14ac:dyDescent="0.25">
      <c r="D39" s="1">
        <v>9</v>
      </c>
      <c r="E39" s="1" t="s">
        <v>5</v>
      </c>
      <c r="F39" s="1" t="s">
        <v>8</v>
      </c>
      <c r="G39" s="1"/>
      <c r="H39" s="1" t="s">
        <v>5</v>
      </c>
      <c r="X39" s="1"/>
    </row>
    <row r="40" spans="1:24" x14ac:dyDescent="0.25">
      <c r="D40" s="1">
        <v>10</v>
      </c>
      <c r="E40" s="1" t="s">
        <v>5</v>
      </c>
      <c r="F40" s="1" t="s">
        <v>6</v>
      </c>
      <c r="G40" s="1"/>
      <c r="H40" s="1" t="s">
        <v>5</v>
      </c>
      <c r="X40" s="1"/>
    </row>
    <row r="41" spans="1:24" x14ac:dyDescent="0.25">
      <c r="D41" s="1">
        <v>11</v>
      </c>
      <c r="E41" s="1" t="s">
        <v>7</v>
      </c>
      <c r="F41" s="1" t="s">
        <v>8</v>
      </c>
      <c r="G41" s="1"/>
      <c r="H41" s="1" t="s">
        <v>8</v>
      </c>
      <c r="X41" s="1"/>
    </row>
    <row r="42" spans="1:24" x14ac:dyDescent="0.25">
      <c r="D42" s="1">
        <v>12</v>
      </c>
      <c r="E42" s="1" t="s">
        <v>6</v>
      </c>
      <c r="F42" s="1" t="s">
        <v>5</v>
      </c>
      <c r="G42" s="1"/>
      <c r="H42" s="1" t="s">
        <v>8</v>
      </c>
      <c r="X42" s="1"/>
    </row>
    <row r="43" spans="1:24" x14ac:dyDescent="0.25">
      <c r="D43" s="1">
        <v>13</v>
      </c>
      <c r="E43" s="1" t="s">
        <v>6</v>
      </c>
      <c r="F43" s="1" t="s">
        <v>8</v>
      </c>
      <c r="G43" s="1"/>
      <c r="H43" s="1" t="s">
        <v>6</v>
      </c>
      <c r="X43" s="1"/>
    </row>
    <row r="44" spans="1:24" x14ac:dyDescent="0.25">
      <c r="D44" s="1">
        <v>14</v>
      </c>
      <c r="E44" s="1" t="s">
        <v>6</v>
      </c>
      <c r="F44" s="1" t="s">
        <v>8</v>
      </c>
      <c r="G44" s="1"/>
      <c r="H44" s="1" t="s">
        <v>7</v>
      </c>
      <c r="X44" s="1"/>
    </row>
    <row r="45" spans="1:24" x14ac:dyDescent="0.25">
      <c r="D45" s="1">
        <v>15</v>
      </c>
      <c r="E45" s="1" t="s">
        <v>6</v>
      </c>
      <c r="F45" s="1" t="s">
        <v>6</v>
      </c>
      <c r="G45" s="1"/>
      <c r="H45" s="1" t="s">
        <v>6</v>
      </c>
      <c r="X45" s="1"/>
    </row>
    <row r="46" spans="1:24" x14ac:dyDescent="0.25">
      <c r="D46" s="1">
        <v>16</v>
      </c>
      <c r="E46" s="1" t="s">
        <v>8</v>
      </c>
      <c r="F46" s="1" t="s">
        <v>6</v>
      </c>
      <c r="G46" s="1"/>
      <c r="H46" s="1" t="s">
        <v>8</v>
      </c>
      <c r="X46" s="1"/>
    </row>
    <row r="47" spans="1:24" x14ac:dyDescent="0.25">
      <c r="D47" s="1">
        <v>17</v>
      </c>
      <c r="E47" s="1" t="s">
        <v>6</v>
      </c>
      <c r="F47" s="1" t="s">
        <v>7</v>
      </c>
      <c r="G47" s="1"/>
      <c r="H47" s="1" t="s">
        <v>7</v>
      </c>
      <c r="X47" s="1"/>
    </row>
    <row r="48" spans="1:24" x14ac:dyDescent="0.25">
      <c r="D48" s="1">
        <v>18</v>
      </c>
      <c r="E48" s="1" t="s">
        <v>7</v>
      </c>
      <c r="F48" s="1" t="s">
        <v>5</v>
      </c>
      <c r="G48" s="1"/>
      <c r="H48" s="1" t="s">
        <v>6</v>
      </c>
      <c r="X48" s="1"/>
    </row>
    <row r="49" spans="4:24" x14ac:dyDescent="0.25">
      <c r="D49" s="1">
        <v>19</v>
      </c>
      <c r="E49" s="1" t="s">
        <v>8</v>
      </c>
      <c r="F49" s="1" t="s">
        <v>6</v>
      </c>
      <c r="G49" s="1"/>
      <c r="H49" s="1" t="s">
        <v>6</v>
      </c>
      <c r="X49" s="1"/>
    </row>
    <row r="50" spans="4:24" x14ac:dyDescent="0.25">
      <c r="D50" s="1">
        <v>20</v>
      </c>
      <c r="E50" s="1" t="s">
        <v>8</v>
      </c>
      <c r="F50" s="1" t="s">
        <v>5</v>
      </c>
      <c r="G50" s="1"/>
      <c r="H50" s="1" t="s">
        <v>7</v>
      </c>
      <c r="X50" s="1"/>
    </row>
    <row r="51" spans="4:24" x14ac:dyDescent="0.25">
      <c r="D51" s="1">
        <v>21</v>
      </c>
      <c r="E51" s="1" t="s">
        <v>6</v>
      </c>
      <c r="F51" s="1" t="s">
        <v>7</v>
      </c>
      <c r="G51" s="1"/>
      <c r="H51" s="1" t="s">
        <v>8</v>
      </c>
      <c r="X51" s="1"/>
    </row>
    <row r="52" spans="4:24" x14ac:dyDescent="0.25">
      <c r="D52" s="1">
        <v>22</v>
      </c>
      <c r="E52" s="1" t="s">
        <v>8</v>
      </c>
      <c r="F52" s="1" t="s">
        <v>6</v>
      </c>
      <c r="G52" s="1"/>
      <c r="H52" s="1" t="s">
        <v>7</v>
      </c>
      <c r="X52" s="1"/>
    </row>
    <row r="53" spans="4:24" x14ac:dyDescent="0.25">
      <c r="D53" s="1">
        <v>23</v>
      </c>
      <c r="E53" s="1" t="s">
        <v>7</v>
      </c>
      <c r="F53" s="1" t="s">
        <v>8</v>
      </c>
      <c r="G53" s="1"/>
      <c r="H53" s="1" t="s">
        <v>4</v>
      </c>
      <c r="X53" s="1"/>
    </row>
    <row r="54" spans="4:24" x14ac:dyDescent="0.25">
      <c r="D54" s="1">
        <v>24</v>
      </c>
      <c r="E54" s="1" t="s">
        <v>6</v>
      </c>
      <c r="F54" s="1" t="s">
        <v>6</v>
      </c>
      <c r="G54" s="1"/>
      <c r="H54" s="1" t="s">
        <v>7</v>
      </c>
    </row>
    <row r="55" spans="4:24" x14ac:dyDescent="0.25">
      <c r="D55" s="1">
        <v>25</v>
      </c>
      <c r="E55" s="1" t="s">
        <v>7</v>
      </c>
      <c r="F55" s="1" t="s">
        <v>7</v>
      </c>
      <c r="G55" s="1"/>
      <c r="H55" s="1" t="s">
        <v>5</v>
      </c>
    </row>
    <row r="56" spans="4:24" x14ac:dyDescent="0.25">
      <c r="D56" s="1">
        <v>26</v>
      </c>
      <c r="E56" s="1" t="s">
        <v>10</v>
      </c>
      <c r="F56" s="1" t="s">
        <v>11</v>
      </c>
      <c r="G56" s="1"/>
      <c r="H56" s="1" t="s">
        <v>11</v>
      </c>
    </row>
    <row r="57" spans="4:24" x14ac:dyDescent="0.25">
      <c r="D57" s="1">
        <v>27</v>
      </c>
      <c r="E57" s="1" t="s">
        <v>11</v>
      </c>
      <c r="F57" s="1" t="s">
        <v>11</v>
      </c>
      <c r="G57" s="1"/>
      <c r="H57" s="1" t="s">
        <v>10</v>
      </c>
    </row>
    <row r="58" spans="4:24" x14ac:dyDescent="0.25">
      <c r="D58" s="1">
        <v>28</v>
      </c>
      <c r="E58" s="1" t="s">
        <v>11</v>
      </c>
      <c r="F58" s="1" t="s">
        <v>11</v>
      </c>
      <c r="G58" s="1"/>
      <c r="H58" s="1" t="s">
        <v>11</v>
      </c>
    </row>
    <row r="59" spans="4:24" x14ac:dyDescent="0.25">
      <c r="D59" s="1">
        <v>29</v>
      </c>
      <c r="E59" s="1" t="s">
        <v>10</v>
      </c>
      <c r="F59" s="1" t="s">
        <v>11</v>
      </c>
      <c r="G59" s="1"/>
      <c r="H59" s="1" t="s">
        <v>11</v>
      </c>
    </row>
    <row r="60" spans="4:24" x14ac:dyDescent="0.25">
      <c r="D60" s="1">
        <v>30</v>
      </c>
      <c r="E60" s="1" t="s">
        <v>11</v>
      </c>
      <c r="F60" s="1" t="s">
        <v>10</v>
      </c>
      <c r="G60" s="1"/>
      <c r="H60" s="1" t="s">
        <v>10</v>
      </c>
    </row>
    <row r="61" spans="4:24" x14ac:dyDescent="0.25">
      <c r="D61" s="1">
        <v>31</v>
      </c>
      <c r="E61" s="1" t="s">
        <v>11</v>
      </c>
      <c r="F61" s="1" t="s">
        <v>10</v>
      </c>
      <c r="G61" s="1"/>
      <c r="H61" s="1" t="s">
        <v>11</v>
      </c>
    </row>
    <row r="62" spans="4:24" x14ac:dyDescent="0.25">
      <c r="D62" s="1">
        <v>32</v>
      </c>
      <c r="E62" s="1" t="s">
        <v>11</v>
      </c>
      <c r="F62" s="1" t="s">
        <v>11</v>
      </c>
      <c r="G62" s="1"/>
      <c r="H62" s="1" t="s">
        <v>11</v>
      </c>
    </row>
    <row r="63" spans="4:24" x14ac:dyDescent="0.25">
      <c r="D63" s="1">
        <v>33</v>
      </c>
      <c r="E63" s="1" t="s">
        <v>10</v>
      </c>
      <c r="F63" s="1" t="s">
        <v>10</v>
      </c>
      <c r="G63" s="1"/>
      <c r="H63" s="1" t="s">
        <v>11</v>
      </c>
    </row>
    <row r="64" spans="4:24" x14ac:dyDescent="0.25">
      <c r="D64" s="1">
        <v>34</v>
      </c>
      <c r="E64" s="1" t="s">
        <v>11</v>
      </c>
      <c r="F64" s="1" t="s">
        <v>11</v>
      </c>
      <c r="G64" s="1"/>
      <c r="H64" s="1" t="s">
        <v>10</v>
      </c>
    </row>
    <row r="65" spans="4:8" x14ac:dyDescent="0.25">
      <c r="D65" s="1">
        <v>35</v>
      </c>
      <c r="E65" s="1" t="s">
        <v>10</v>
      </c>
      <c r="F65" s="1" t="s">
        <v>11</v>
      </c>
      <c r="G65" s="1"/>
      <c r="H65" s="1" t="s">
        <v>11</v>
      </c>
    </row>
  </sheetData>
  <mergeCells count="5">
    <mergeCell ref="C3:C4"/>
    <mergeCell ref="D3:D4"/>
    <mergeCell ref="E3:E4"/>
    <mergeCell ref="F3:F4"/>
    <mergeCell ref="B3:B4"/>
  </mergeCells>
  <phoneticPr fontId="1" type="noConversion"/>
  <pageMargins left="0.7" right="0.7" top="0.75" bottom="0.75" header="0.3" footer="0.3"/>
  <pageSetup orientation="portrait" r:id="rId1"/>
  <ignoredErrors>
    <ignoredError sqref="G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Halloran</dc:creator>
  <cp:lastModifiedBy>Mitch Halloran</cp:lastModifiedBy>
  <dcterms:created xsi:type="dcterms:W3CDTF">2025-12-08T04:36:05Z</dcterms:created>
  <dcterms:modified xsi:type="dcterms:W3CDTF">2025-12-09T03:43:23Z</dcterms:modified>
</cp:coreProperties>
</file>