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Xiong class\"/>
    </mc:Choice>
  </mc:AlternateContent>
  <xr:revisionPtr revIDLastSave="0" documentId="13_ncr:1_{0BA7FD54-3153-4A72-BC3C-9D14842696F5}" xr6:coauthVersionLast="47" xr6:coauthVersionMax="47" xr10:uidLastSave="{00000000-0000-0000-0000-000000000000}"/>
  <bookViews>
    <workbookView xWindow="3570" yWindow="1080" windowWidth="32385" windowHeight="1801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1" l="1"/>
  <c r="G48" i="1"/>
  <c r="G47" i="1"/>
  <c r="G46" i="1"/>
  <c r="G45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5" i="1"/>
  <c r="H6" i="1"/>
  <c r="H7" i="1"/>
  <c r="H8" i="1"/>
  <c r="H9" i="1"/>
  <c r="H10" i="1"/>
  <c r="H11" i="1"/>
  <c r="H12" i="1"/>
  <c r="H4" i="1"/>
  <c r="G44" i="1"/>
  <c r="G43" i="1"/>
  <c r="G5" i="1" a="1"/>
  <c r="G5" i="1" s="1"/>
  <c r="I5" i="1" s="1"/>
  <c r="G6" i="1" a="1"/>
  <c r="G6" i="1" s="1"/>
  <c r="I6" i="1" s="1"/>
  <c r="G7" i="1" a="1"/>
  <c r="G7" i="1" s="1"/>
  <c r="I7" i="1" s="1"/>
  <c r="G8" i="1" a="1"/>
  <c r="G8" i="1" s="1"/>
  <c r="I8" i="1" s="1"/>
  <c r="G9" i="1" a="1"/>
  <c r="G9" i="1" s="1"/>
  <c r="I9" i="1" s="1"/>
  <c r="G10" i="1" a="1"/>
  <c r="G10" i="1" s="1"/>
  <c r="I10" i="1" s="1"/>
  <c r="G11" i="1" a="1"/>
  <c r="G11" i="1" s="1"/>
  <c r="I11" i="1" s="1"/>
  <c r="G12" i="1" a="1"/>
  <c r="G12" i="1" s="1"/>
  <c r="G13" i="1" a="1"/>
  <c r="G13" i="1" s="1"/>
  <c r="I13" i="1" s="1"/>
  <c r="G14" i="1" a="1"/>
  <c r="G14" i="1" s="1"/>
  <c r="G15" i="1" a="1"/>
  <c r="G15" i="1" s="1"/>
  <c r="G16" i="1" a="1"/>
  <c r="G16" i="1" s="1"/>
  <c r="I16" i="1" s="1"/>
  <c r="G17" i="1" a="1"/>
  <c r="G17" i="1" s="1"/>
  <c r="I17" i="1" s="1"/>
  <c r="G18" i="1" a="1"/>
  <c r="G18" i="1" s="1"/>
  <c r="I18" i="1" s="1"/>
  <c r="G19" i="1" a="1"/>
  <c r="G19" i="1" s="1"/>
  <c r="I19" i="1" s="1"/>
  <c r="G20" i="1" a="1"/>
  <c r="G20" i="1" s="1"/>
  <c r="I20" i="1" s="1"/>
  <c r="G21" i="1" a="1"/>
  <c r="G21" i="1" s="1"/>
  <c r="I21" i="1" s="1"/>
  <c r="G22" i="1" a="1"/>
  <c r="G22" i="1" s="1"/>
  <c r="I22" i="1" s="1"/>
  <c r="G23" i="1" a="1"/>
  <c r="G23" i="1" s="1"/>
  <c r="I23" i="1" s="1"/>
  <c r="G24" i="1" a="1"/>
  <c r="G24" i="1" s="1"/>
  <c r="I24" i="1" s="1"/>
  <c r="G25" i="1" a="1"/>
  <c r="G25" i="1" s="1"/>
  <c r="I25" i="1" s="1"/>
  <c r="G26" i="1" a="1"/>
  <c r="G26" i="1" s="1"/>
  <c r="I26" i="1" s="1"/>
  <c r="G27" i="1" a="1"/>
  <c r="G27" i="1" s="1"/>
  <c r="I27" i="1" s="1"/>
  <c r="G28" i="1" a="1"/>
  <c r="G28" i="1" s="1"/>
  <c r="I28" i="1" s="1"/>
  <c r="G29" i="1" a="1"/>
  <c r="G29" i="1" s="1"/>
  <c r="I29" i="1" s="1"/>
  <c r="G30" i="1" a="1"/>
  <c r="G30" i="1" s="1"/>
  <c r="I30" i="1" s="1"/>
  <c r="G31" i="1" a="1"/>
  <c r="G31" i="1" s="1"/>
  <c r="G32" i="1" a="1"/>
  <c r="G32" i="1" s="1"/>
  <c r="I32" i="1" s="1"/>
  <c r="G33" i="1" a="1"/>
  <c r="G33" i="1" s="1"/>
  <c r="I33" i="1" s="1"/>
  <c r="G34" i="1" a="1"/>
  <c r="G34" i="1" s="1"/>
  <c r="I34" i="1" s="1"/>
  <c r="G35" i="1" a="1"/>
  <c r="G35" i="1" s="1"/>
  <c r="I35" i="1" s="1"/>
  <c r="G36" i="1" a="1"/>
  <c r="G36" i="1" s="1"/>
  <c r="I36" i="1" s="1"/>
  <c r="G37" i="1" a="1"/>
  <c r="G37" i="1" s="1"/>
  <c r="I37" i="1" s="1"/>
  <c r="G38" i="1" a="1"/>
  <c r="G38" i="1" s="1"/>
  <c r="I38" i="1" s="1"/>
  <c r="G39" i="1" a="1"/>
  <c r="G39" i="1" s="1"/>
  <c r="I39" i="1" s="1"/>
  <c r="G40" i="1" a="1"/>
  <c r="G40" i="1" s="1"/>
  <c r="I40" i="1" s="1"/>
  <c r="G41" i="1" a="1"/>
  <c r="G41" i="1" s="1"/>
  <c r="I41" i="1" s="1"/>
  <c r="G4" i="1" a="1"/>
  <c r="G4" i="1" s="1"/>
  <c r="I4" i="1" s="1"/>
  <c r="I15" i="1" l="1"/>
  <c r="I31" i="1"/>
  <c r="I12" i="1"/>
  <c r="I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<sst xmlns="http://schemas.openxmlformats.org/spreadsheetml/2006/main" count="2135" uniqueCount="192">
  <si>
    <t>BLANK</t>
  </si>
  <si>
    <t>D</t>
  </si>
  <si>
    <t>B</t>
  </si>
  <si>
    <t>A</t>
  </si>
  <si>
    <t>C</t>
  </si>
  <si>
    <t>(A,B)</t>
  </si>
  <si>
    <t>E</t>
  </si>
  <si>
    <t>Q 1</t>
  </si>
  <si>
    <t>Q 2</t>
  </si>
  <si>
    <t>Q 3</t>
  </si>
  <si>
    <t>Q 4</t>
  </si>
  <si>
    <t>Q 5</t>
  </si>
  <si>
    <t>Q 6</t>
  </si>
  <si>
    <t>Q 7</t>
  </si>
  <si>
    <t>Q 8</t>
  </si>
  <si>
    <t>Q 9</t>
  </si>
  <si>
    <t>Q 10</t>
  </si>
  <si>
    <t>Q 11</t>
  </si>
  <si>
    <t>Q 12</t>
  </si>
  <si>
    <t>Q 13</t>
  </si>
  <si>
    <t>Q 14</t>
  </si>
  <si>
    <t>Q 15</t>
  </si>
  <si>
    <t>Q 16</t>
  </si>
  <si>
    <t>Q 17</t>
  </si>
  <si>
    <t>Q 18</t>
  </si>
  <si>
    <t>Q 19</t>
  </si>
  <si>
    <t>Q 20</t>
  </si>
  <si>
    <t>Q 21</t>
  </si>
  <si>
    <t>Q 22</t>
  </si>
  <si>
    <t>Q 23</t>
  </si>
  <si>
    <t>Q 24</t>
  </si>
  <si>
    <t>Q 25</t>
  </si>
  <si>
    <t>Q 26</t>
  </si>
  <si>
    <t>Q 27</t>
  </si>
  <si>
    <t>Q 28</t>
  </si>
  <si>
    <t>Q 29</t>
  </si>
  <si>
    <t>Q 30</t>
  </si>
  <si>
    <t>Q 31</t>
  </si>
  <si>
    <t>Q 32</t>
  </si>
  <si>
    <t>Q 33</t>
  </si>
  <si>
    <t>Q 34</t>
  </si>
  <si>
    <t>Q 35</t>
  </si>
  <si>
    <t>Q 36</t>
  </si>
  <si>
    <t>Q 37</t>
  </si>
  <si>
    <t>Q 38</t>
  </si>
  <si>
    <t>Q 39</t>
  </si>
  <si>
    <t>Q 40</t>
  </si>
  <si>
    <t>Q 41</t>
  </si>
  <si>
    <t>Q 42</t>
  </si>
  <si>
    <t>Q 43</t>
  </si>
  <si>
    <t>Q 44</t>
  </si>
  <si>
    <t>Q 45</t>
  </si>
  <si>
    <t>Q 46</t>
  </si>
  <si>
    <t>Q 47</t>
  </si>
  <si>
    <t>Q 48</t>
  </si>
  <si>
    <t>Q 49</t>
  </si>
  <si>
    <t>Q 50</t>
  </si>
  <si>
    <t>Key</t>
  </si>
  <si>
    <t>RKSidhu3@MY.SCCCD.EDU</t>
  </si>
  <si>
    <t>Ria Sidhu</t>
  </si>
  <si>
    <t>YMann2@MY.SCCCD.EDU</t>
  </si>
  <si>
    <t>Yogya Mann</t>
  </si>
  <si>
    <t>SGarcia143@MY.SCCCD.EDU</t>
  </si>
  <si>
    <t>Selena Garcia</t>
  </si>
  <si>
    <t>DALeal2@MY.SCCCD.EDU</t>
  </si>
  <si>
    <t>Anahi Leal</t>
  </si>
  <si>
    <t>BCerrato1@MY.SCCCD.EDU</t>
  </si>
  <si>
    <t>Blanca Cerrato</t>
  </si>
  <si>
    <t>CThao1@MY.SCCCD.EDU</t>
  </si>
  <si>
    <t>Clowey Thao</t>
  </si>
  <si>
    <t>LAMaestas1@MY.SCCCD.EDU</t>
  </si>
  <si>
    <t>Lillian Maestas</t>
  </si>
  <si>
    <t>HMarquez9@MY.SCCCD.EDU</t>
  </si>
  <si>
    <t>Haylee Marquez</t>
  </si>
  <si>
    <t>AOropeza6@MY.SCCCD.EDU</t>
  </si>
  <si>
    <t>Adriana Oropeza</t>
  </si>
  <si>
    <t>SSBarcelos1@MY.SCCCD.EDU</t>
  </si>
  <si>
    <t>Sarah Barcelos</t>
  </si>
  <si>
    <t>NSingh57@MY.SCCCD.EDU</t>
  </si>
  <si>
    <t>Navraj Singh</t>
  </si>
  <si>
    <t>JRamirez382@MY.SCCCD.EDU</t>
  </si>
  <si>
    <t>Juliza Ramirez</t>
  </si>
  <si>
    <t>AIMendoza9@MY.SCCCD.EDU</t>
  </si>
  <si>
    <t>Andrea Mendoza</t>
  </si>
  <si>
    <t>JKaur198@MY.SCCCD.EDU</t>
  </si>
  <si>
    <t>Jaspreet Kaur</t>
  </si>
  <si>
    <t>MGaribay1@MY.SCCCD.EDU</t>
  </si>
  <si>
    <t>Maria Garibay</t>
  </si>
  <si>
    <t>OOlorunfunmi1@MY.SCCCD.EDU</t>
  </si>
  <si>
    <t>Odunayo Olorunfunmi</t>
  </si>
  <si>
    <t>CGonzalezEspinoza1@MY.SCCCD.EDU</t>
  </si>
  <si>
    <t>Celeste Gonzalez Espinoza</t>
  </si>
  <si>
    <t>JKaur202@MY.SCCCD.EDU</t>
  </si>
  <si>
    <t>Jagjit Kaur</t>
  </si>
  <si>
    <t>SDRivera1@MY.SCCCD.EDU</t>
  </si>
  <si>
    <t>Samantha Rivera</t>
  </si>
  <si>
    <t>VPPomeroy1@MY.SCCCD.EDU</t>
  </si>
  <si>
    <t>Victor Pomeroy</t>
  </si>
  <si>
    <t>AGGonzalez19@MY.SCCCD.EDU</t>
  </si>
  <si>
    <t>Amalia Gonzalez</t>
  </si>
  <si>
    <t>JMNorberte1@MY.SCCCD.EDU</t>
  </si>
  <si>
    <t>Jennie Norberte</t>
  </si>
  <si>
    <t>DSantiagoBenitez1@MY.SCCCD.EDU</t>
  </si>
  <si>
    <t>Diego Santiago Benitez</t>
  </si>
  <si>
    <t>SACerrato1@MY.SCCCD.EDU</t>
  </si>
  <si>
    <t>Starlyn Cerrato</t>
  </si>
  <si>
    <t>DThao39@MY.SCCCD.EDU</t>
  </si>
  <si>
    <t>Dragon Thao</t>
  </si>
  <si>
    <t>AMata33@MY.SCCCD.EDU</t>
  </si>
  <si>
    <t>Ariana Mata</t>
  </si>
  <si>
    <t>AMejiaPuentes1@MY.SCCCD.EDU</t>
  </si>
  <si>
    <t>Angie Mejia Puentes</t>
  </si>
  <si>
    <t>GCMejiaEspinoza1@MY.SCCCD.EDU</t>
  </si>
  <si>
    <t>Gricelda Mejia Espinoza</t>
  </si>
  <si>
    <t>ACAlvarado3@MY.SCCCD.EDU</t>
  </si>
  <si>
    <t>Allison Alvarado</t>
  </si>
  <si>
    <t>MMPerezGomez1@MY.SCCCD.EDU</t>
  </si>
  <si>
    <t>Marlen Perez-Gomez</t>
  </si>
  <si>
    <t>RGomez100@MY.SCCCD.EDU</t>
  </si>
  <si>
    <t>Ricardo Gomez</t>
  </si>
  <si>
    <t>NATrelles1@MY.SCCCD.EDU</t>
  </si>
  <si>
    <t>Noelani Trelles</t>
  </si>
  <si>
    <t>AStepanova1@MY.SCCCD.EDU</t>
  </si>
  <si>
    <t>Anna Stepanova</t>
  </si>
  <si>
    <t>AGWright2@MY.SCCCD.EDU</t>
  </si>
  <si>
    <t>Alana Wright</t>
  </si>
  <si>
    <t>AAmbrizCervantes1@MY.SCCCD.EDU</t>
  </si>
  <si>
    <t>Alejandra Ambriz Cervantes</t>
  </si>
  <si>
    <t>DCWashington2@MY.SCCCD.EDU</t>
  </si>
  <si>
    <t>Dashanieck Washington</t>
  </si>
  <si>
    <t>TCurran2@MY.SCCCD.EDU</t>
  </si>
  <si>
    <t>Tyler Curran</t>
  </si>
  <si>
    <t>JSRodriguez24@MY.SCCCD.EDU</t>
  </si>
  <si>
    <t>julie Rodriguez</t>
  </si>
  <si>
    <t>JMSolis5@MY.SCCCD.EDU</t>
  </si>
  <si>
    <t>Julian Solis</t>
  </si>
  <si>
    <t>FLovepreet1@MY.SCCCD.EDU</t>
  </si>
  <si>
    <t>Fnu Lovepreet</t>
  </si>
  <si>
    <t>LVArriagaFigueroa1@MY.SCCCD.EDU</t>
  </si>
  <si>
    <t>Leidi Arriaga Figueroa</t>
  </si>
  <si>
    <t>LMMarquez5@MY.SCCCD.EDU</t>
  </si>
  <si>
    <t>Layla Marquez</t>
  </si>
  <si>
    <t>YYogita1@MY.SCCCD.EDU</t>
  </si>
  <si>
    <t>Yogita Yogita</t>
  </si>
  <si>
    <t>OHBadawia1@MY.SCCCD.EDU</t>
  </si>
  <si>
    <t>Omar Badawia</t>
  </si>
  <si>
    <t>MKSandhu7@MY.SCCCD.EDU</t>
  </si>
  <si>
    <t>Manreet Sandhu</t>
  </si>
  <si>
    <t>SEBenitezHurtado1@MY.SCCCD.EDU</t>
  </si>
  <si>
    <t>Sasha Benitez-Hurtado</t>
  </si>
  <si>
    <t>Email</t>
  </si>
  <si>
    <t>Student Name</t>
  </si>
  <si>
    <t>0408118</t>
  </si>
  <si>
    <t>0528718</t>
  </si>
  <si>
    <t>0759256</t>
  </si>
  <si>
    <t>0728982</t>
  </si>
  <si>
    <t>0952106</t>
  </si>
  <si>
    <t>0908977</t>
  </si>
  <si>
    <t>0866052</t>
  </si>
  <si>
    <t>0975720</t>
  </si>
  <si>
    <t>0874920</t>
  </si>
  <si>
    <t>0953249</t>
  </si>
  <si>
    <t>0731251</t>
  </si>
  <si>
    <t>0746798</t>
  </si>
  <si>
    <t>0673134</t>
  </si>
  <si>
    <t>0841604</t>
  </si>
  <si>
    <t>0838932</t>
  </si>
  <si>
    <t>0985955</t>
  </si>
  <si>
    <t>0725142</t>
  </si>
  <si>
    <t>0636364</t>
  </si>
  <si>
    <t>0792793</t>
  </si>
  <si>
    <t>0488837</t>
  </si>
  <si>
    <t>0570202</t>
  </si>
  <si>
    <t>0933506</t>
  </si>
  <si>
    <t>0790115</t>
  </si>
  <si>
    <t>0966404</t>
  </si>
  <si>
    <t>0974123</t>
  </si>
  <si>
    <t>0994943</t>
  </si>
  <si>
    <t>0862931</t>
  </si>
  <si>
    <t>Section Name</t>
  </si>
  <si>
    <t>Student SIS ID / ID1</t>
  </si>
  <si>
    <t>Correct</t>
  </si>
  <si>
    <t>On Roster, Not Recorded As Taking</t>
  </si>
  <si>
    <t>Percent</t>
  </si>
  <si>
    <t>mean</t>
  </si>
  <si>
    <t>median</t>
  </si>
  <si>
    <t>std dev</t>
  </si>
  <si>
    <t>count</t>
  </si>
  <si>
    <t>Z</t>
  </si>
  <si>
    <t>mode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</si>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</sst>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"/>
    <numFmt numFmtId="165" formatCode="0.0%"/>
    <numFmt numFmtId="166" formatCode="0.0"/>
  </numFmts>
  <fonts count="7" x14ac:knownFonts="1">
    <font>
      <sz val="10"/>
      <name val="Tahoma"/>
    </font>
    <font>
      <sz val="10"/>
      <name val="Tahoma"/>
    </font>
    <font>
      <sz val="10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b/>
      <sz val="10"/>
      <color theme="3" tint="9.9978637043366805E-2"/>
      <name val="Tahoma"/>
      <family val="2"/>
    </font>
    <font>
      <b/>
      <i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/>
    </xf>
    <xf numFmtId="18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0" fillId="0" borderId="0" xfId="1" applyNumberFormat="1" applyFont="1" applyAlignment="1">
      <alignment horizontal="center"/>
    </xf>
    <xf numFmtId="9" fontId="0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2"/>
  <sheetViews>
    <sheetView tabSelected="1" workbookViewId="0">
      <selection activeCell="G50" sqref="G50"/>
    </sheetView>
  </sheetViews>
  <sheetFormatPr defaultColWidth="9.140625" defaultRowHeight="12.75" x14ac:dyDescent="0.2"/>
  <cols>
    <col min="1" max="1" width="4.7109375" customWidth="1"/>
    <col min="2" max="2" width="20.140625" customWidth="1"/>
    <col min="3" max="3" width="19.42578125" customWidth="1"/>
    <col min="4" max="4" width="32.42578125" customWidth="1"/>
    <col min="5" max="5" width="10.42578125" customWidth="1"/>
    <col min="6" max="6" width="9.140625" customWidth="1"/>
    <col min="7" max="7" width="8.85546875" customWidth="1"/>
    <col min="8" max="8" width="7.28515625" customWidth="1"/>
    <col min="9" max="9" width="10" customWidth="1"/>
    <col min="10" max="59" width="7.140625" style="1" customWidth="1"/>
  </cols>
  <sheetData>
    <row r="1" spans="1:59" x14ac:dyDescent="0.2">
      <c r="G1" s="11" t="s">
        <v>57</v>
      </c>
      <c r="H1" s="11"/>
      <c r="I1" s="11"/>
      <c r="J1" s="12" t="s">
        <v>1</v>
      </c>
      <c r="K1" s="12" t="s">
        <v>4</v>
      </c>
      <c r="L1" s="12" t="s">
        <v>3</v>
      </c>
      <c r="M1" s="12" t="s">
        <v>1</v>
      </c>
      <c r="N1" s="12" t="s">
        <v>1</v>
      </c>
      <c r="O1" s="12" t="s">
        <v>2</v>
      </c>
      <c r="P1" s="12" t="s">
        <v>2</v>
      </c>
      <c r="Q1" s="12" t="s">
        <v>4</v>
      </c>
      <c r="R1" s="12" t="s">
        <v>2</v>
      </c>
      <c r="S1" s="12" t="s">
        <v>4</v>
      </c>
      <c r="T1" s="12" t="s">
        <v>2</v>
      </c>
      <c r="U1" s="12" t="s">
        <v>4</v>
      </c>
      <c r="V1" s="12" t="s">
        <v>1</v>
      </c>
      <c r="W1" s="12" t="s">
        <v>1</v>
      </c>
      <c r="X1" s="12" t="s">
        <v>3</v>
      </c>
      <c r="Y1" s="12" t="s">
        <v>4</v>
      </c>
      <c r="Z1" s="12" t="s">
        <v>3</v>
      </c>
      <c r="AA1" s="12" t="s">
        <v>2</v>
      </c>
      <c r="AB1" s="12" t="s">
        <v>2</v>
      </c>
      <c r="AC1" s="12" t="s">
        <v>4</v>
      </c>
      <c r="AD1" s="12" t="s">
        <v>4</v>
      </c>
      <c r="AE1" s="12" t="s">
        <v>1</v>
      </c>
      <c r="AF1" s="12" t="s">
        <v>2</v>
      </c>
      <c r="AG1" s="12" t="s">
        <v>1</v>
      </c>
      <c r="AH1" s="12" t="s">
        <v>4</v>
      </c>
      <c r="AI1" s="12" t="s">
        <v>3</v>
      </c>
      <c r="AJ1" s="12" t="s">
        <v>3</v>
      </c>
      <c r="AK1" s="12" t="s">
        <v>4</v>
      </c>
      <c r="AL1" s="12" t="s">
        <v>4</v>
      </c>
      <c r="AM1" s="12" t="s">
        <v>3</v>
      </c>
      <c r="AN1" s="12" t="s">
        <v>1</v>
      </c>
      <c r="AO1" s="12" t="s">
        <v>1</v>
      </c>
      <c r="AP1" s="12" t="s">
        <v>3</v>
      </c>
      <c r="AQ1" s="12" t="s">
        <v>2</v>
      </c>
      <c r="AR1" s="12" t="s">
        <v>1</v>
      </c>
      <c r="AS1" s="12" t="s">
        <v>2</v>
      </c>
      <c r="AT1" s="12" t="s">
        <v>2</v>
      </c>
      <c r="AU1" s="12" t="s">
        <v>1</v>
      </c>
      <c r="AV1" s="12" t="s">
        <v>4</v>
      </c>
      <c r="AW1" s="12" t="s">
        <v>1</v>
      </c>
      <c r="AX1" s="12" t="s">
        <v>3</v>
      </c>
      <c r="AY1" s="12" t="s">
        <v>2</v>
      </c>
      <c r="AZ1" s="12" t="s">
        <v>3</v>
      </c>
      <c r="BA1" s="12" t="s">
        <v>4</v>
      </c>
      <c r="BB1" s="12" t="s">
        <v>1</v>
      </c>
      <c r="BC1" s="12" t="s">
        <v>2</v>
      </c>
      <c r="BD1" s="12" t="s">
        <v>3</v>
      </c>
      <c r="BE1" s="12" t="s">
        <v>3</v>
      </c>
      <c r="BF1" s="12" t="s">
        <v>2</v>
      </c>
      <c r="BG1" s="12" t="s">
        <v>3</v>
      </c>
    </row>
    <row r="2" spans="1:59" x14ac:dyDescent="0.2">
      <c r="B2" t="s">
        <v>151</v>
      </c>
      <c r="C2" s="2" t="s">
        <v>180</v>
      </c>
      <c r="D2" t="s">
        <v>150</v>
      </c>
      <c r="E2" t="s">
        <v>179</v>
      </c>
    </row>
    <row r="3" spans="1:59" x14ac:dyDescent="0.2">
      <c r="C3" s="1"/>
      <c r="G3" s="7" t="s">
        <v>181</v>
      </c>
      <c r="H3" s="15" t="s">
        <v>188</v>
      </c>
      <c r="I3" s="8" t="s">
        <v>183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</row>
    <row r="4" spans="1:59" x14ac:dyDescent="0.2">
      <c r="A4">
        <v>1</v>
      </c>
      <c r="B4" t="s">
        <v>63</v>
      </c>
      <c r="C4" s="5" t="s">
        <v>152</v>
      </c>
      <c r="D4" t="s">
        <v>62</v>
      </c>
      <c r="E4">
        <v>43908</v>
      </c>
      <c r="G4" s="7" cm="1">
        <f t="array" ref="G4">SUMPRODUCT(--(J4:BG4=$J$1:$BG$1))</f>
        <v>22</v>
      </c>
      <c r="H4" s="16" t="str">
        <f>IF((G4-$G$43)/$G$44&lt;0,(G4-$G$43)/$G$44,"+"&amp;FIXED((G4-$G$43)/$G$44,1))</f>
        <v>+0.0</v>
      </c>
      <c r="I4" s="10">
        <f t="shared" ref="I4:I41" si="0">G4/50</f>
        <v>0.44</v>
      </c>
      <c r="J4" s="1" t="s">
        <v>4</v>
      </c>
      <c r="K4" s="1" t="s">
        <v>2</v>
      </c>
      <c r="L4" s="1" t="s">
        <v>1</v>
      </c>
      <c r="M4" s="1" t="s">
        <v>1</v>
      </c>
      <c r="N4" s="1" t="s">
        <v>2</v>
      </c>
      <c r="O4" s="1" t="s">
        <v>3</v>
      </c>
      <c r="P4" s="1" t="s">
        <v>1</v>
      </c>
      <c r="Q4" s="1" t="s">
        <v>4</v>
      </c>
      <c r="R4" s="1" t="s">
        <v>1</v>
      </c>
      <c r="S4" s="1" t="s">
        <v>2</v>
      </c>
      <c r="T4" s="1" t="s">
        <v>3</v>
      </c>
      <c r="U4" s="1" t="s">
        <v>4</v>
      </c>
      <c r="V4" s="1" t="s">
        <v>3</v>
      </c>
      <c r="W4" s="1" t="s">
        <v>1</v>
      </c>
      <c r="X4" s="1" t="s">
        <v>4</v>
      </c>
      <c r="Y4" s="1" t="s">
        <v>2</v>
      </c>
      <c r="Z4" s="1" t="s">
        <v>3</v>
      </c>
      <c r="AA4" s="1" t="s">
        <v>1</v>
      </c>
      <c r="AB4" s="1" t="s">
        <v>2</v>
      </c>
      <c r="AC4" s="1" t="s">
        <v>2</v>
      </c>
      <c r="AD4" s="1" t="s">
        <v>3</v>
      </c>
      <c r="AE4" s="1" t="s">
        <v>4</v>
      </c>
      <c r="AF4" s="1" t="s">
        <v>1</v>
      </c>
      <c r="AG4" s="1" t="s">
        <v>4</v>
      </c>
      <c r="AH4" s="1" t="s">
        <v>1</v>
      </c>
      <c r="AI4" s="1" t="s">
        <v>3</v>
      </c>
      <c r="AJ4" s="1" t="s">
        <v>2</v>
      </c>
      <c r="AK4" s="1" t="s">
        <v>4</v>
      </c>
      <c r="AL4" s="1" t="s">
        <v>3</v>
      </c>
      <c r="AM4" s="1" t="s">
        <v>3</v>
      </c>
      <c r="AN4" s="1" t="s">
        <v>4</v>
      </c>
      <c r="AO4" s="1" t="s">
        <v>1</v>
      </c>
      <c r="AP4" s="1" t="s">
        <v>3</v>
      </c>
      <c r="AQ4" s="1" t="s">
        <v>2</v>
      </c>
      <c r="AR4" s="1" t="s">
        <v>1</v>
      </c>
      <c r="AS4" s="1" t="s">
        <v>4</v>
      </c>
      <c r="AT4" s="1" t="s">
        <v>2</v>
      </c>
      <c r="AU4" s="1" t="s">
        <v>1</v>
      </c>
      <c r="AV4" s="1" t="s">
        <v>2</v>
      </c>
      <c r="AW4" s="1" t="s">
        <v>2</v>
      </c>
      <c r="AX4" s="1" t="s">
        <v>3</v>
      </c>
      <c r="AY4" s="1" t="s">
        <v>2</v>
      </c>
      <c r="AZ4" s="1" t="s">
        <v>3</v>
      </c>
      <c r="BA4" s="1" t="s">
        <v>2</v>
      </c>
      <c r="BB4" s="1" t="s">
        <v>1</v>
      </c>
      <c r="BC4" s="1" t="s">
        <v>1</v>
      </c>
      <c r="BD4" s="1" t="s">
        <v>4</v>
      </c>
      <c r="BE4" s="1" t="s">
        <v>3</v>
      </c>
      <c r="BF4" s="1" t="s">
        <v>2</v>
      </c>
      <c r="BG4" s="1" t="s">
        <v>3</v>
      </c>
    </row>
    <row r="5" spans="1:59" x14ac:dyDescent="0.2">
      <c r="A5">
        <v>2</v>
      </c>
      <c r="B5" t="s">
        <v>67</v>
      </c>
      <c r="C5" s="5" t="s">
        <v>153</v>
      </c>
      <c r="D5" t="s">
        <v>66</v>
      </c>
      <c r="E5">
        <v>43908</v>
      </c>
      <c r="G5" s="7" cm="1">
        <f t="array" ref="G5">SUMPRODUCT(--(J5:BG5=$J$1:$BG$1))</f>
        <v>18</v>
      </c>
      <c r="H5" s="16">
        <f t="shared" ref="H5:H41" si="1">IF((G5-$G$43)/$G$44&lt;0,(G5-$G$43)/$G$44,"+"&amp;FIXED((G5-$G$43)/$G$44,1))</f>
        <v>-0.60026779312596534</v>
      </c>
      <c r="I5" s="10">
        <f t="shared" si="0"/>
        <v>0.36</v>
      </c>
      <c r="J5" s="1" t="s">
        <v>1</v>
      </c>
      <c r="K5" s="1" t="s">
        <v>1</v>
      </c>
      <c r="L5" s="1" t="s">
        <v>4</v>
      </c>
      <c r="M5" s="1" t="s">
        <v>2</v>
      </c>
      <c r="N5" s="1" t="s">
        <v>2</v>
      </c>
      <c r="O5" s="1" t="s">
        <v>1</v>
      </c>
      <c r="P5" s="1" t="s">
        <v>2</v>
      </c>
      <c r="Q5" s="1" t="s">
        <v>4</v>
      </c>
      <c r="R5" s="1" t="s">
        <v>1</v>
      </c>
      <c r="S5" s="1" t="s">
        <v>3</v>
      </c>
      <c r="T5" s="1" t="s">
        <v>3</v>
      </c>
      <c r="U5" s="1" t="s">
        <v>1</v>
      </c>
      <c r="V5" s="1" t="s">
        <v>4</v>
      </c>
      <c r="W5" s="1" t="s">
        <v>3</v>
      </c>
      <c r="X5" s="1" t="s">
        <v>4</v>
      </c>
      <c r="Y5" s="1" t="s">
        <v>1</v>
      </c>
      <c r="Z5" s="1" t="s">
        <v>3</v>
      </c>
      <c r="AA5" s="1" t="s">
        <v>2</v>
      </c>
      <c r="AB5" s="1" t="s">
        <v>2</v>
      </c>
      <c r="AC5" s="1" t="s">
        <v>1</v>
      </c>
      <c r="AD5" s="1" t="s">
        <v>4</v>
      </c>
      <c r="AE5" s="1" t="s">
        <v>3</v>
      </c>
      <c r="AF5" s="1" t="s">
        <v>1</v>
      </c>
      <c r="AG5" s="1" t="s">
        <v>2</v>
      </c>
      <c r="AH5" s="1" t="s">
        <v>4</v>
      </c>
      <c r="AI5" s="1" t="s">
        <v>3</v>
      </c>
      <c r="AJ5" s="1" t="s">
        <v>3</v>
      </c>
      <c r="AK5" s="1" t="s">
        <v>3</v>
      </c>
      <c r="AL5" s="1" t="s">
        <v>3</v>
      </c>
      <c r="AM5" s="1" t="s">
        <v>3</v>
      </c>
      <c r="AN5" s="1" t="s">
        <v>2</v>
      </c>
      <c r="AO5" s="1" t="s">
        <v>4</v>
      </c>
      <c r="AP5" s="1" t="s">
        <v>4</v>
      </c>
      <c r="AQ5" s="1" t="s">
        <v>2</v>
      </c>
      <c r="AR5" s="1" t="s">
        <v>4</v>
      </c>
      <c r="AS5" s="1" t="s">
        <v>4</v>
      </c>
      <c r="AT5" s="1" t="s">
        <v>2</v>
      </c>
      <c r="AU5" s="1" t="s">
        <v>3</v>
      </c>
      <c r="AV5" s="1" t="s">
        <v>2</v>
      </c>
      <c r="AW5" s="1" t="s">
        <v>4</v>
      </c>
      <c r="AX5" s="1" t="s">
        <v>3</v>
      </c>
      <c r="AY5" s="1" t="s">
        <v>3</v>
      </c>
      <c r="AZ5" s="1" t="s">
        <v>3</v>
      </c>
      <c r="BA5" s="1" t="s">
        <v>4</v>
      </c>
      <c r="BB5" s="1" t="s">
        <v>4</v>
      </c>
      <c r="BC5" s="1" t="s">
        <v>3</v>
      </c>
      <c r="BD5" s="1" t="s">
        <v>2</v>
      </c>
      <c r="BE5" s="1" t="s">
        <v>2</v>
      </c>
      <c r="BF5" s="1" t="s">
        <v>2</v>
      </c>
      <c r="BG5" s="1" t="s">
        <v>3</v>
      </c>
    </row>
    <row r="6" spans="1:59" x14ac:dyDescent="0.2">
      <c r="A6">
        <v>3</v>
      </c>
      <c r="B6" t="s">
        <v>119</v>
      </c>
      <c r="C6" s="5" t="s">
        <v>169</v>
      </c>
      <c r="D6" t="s">
        <v>118</v>
      </c>
      <c r="E6">
        <v>43911</v>
      </c>
      <c r="G6" s="7" cm="1">
        <f t="array" ref="G6">SUMPRODUCT(--(J6:BG6=$J$1:$BG$1))</f>
        <v>29</v>
      </c>
      <c r="H6" s="16" t="str">
        <f t="shared" si="1"/>
        <v>+1.1</v>
      </c>
      <c r="I6" s="10">
        <f t="shared" si="0"/>
        <v>0.57999999999999996</v>
      </c>
      <c r="J6" s="1" t="s">
        <v>1</v>
      </c>
      <c r="K6" s="1" t="s">
        <v>1</v>
      </c>
      <c r="L6" s="1" t="s">
        <v>3</v>
      </c>
      <c r="M6" s="1" t="s">
        <v>3</v>
      </c>
      <c r="N6" s="1" t="s">
        <v>1</v>
      </c>
      <c r="O6" s="1" t="s">
        <v>4</v>
      </c>
      <c r="P6" s="1" t="s">
        <v>2</v>
      </c>
      <c r="Q6" s="1" t="s">
        <v>4</v>
      </c>
      <c r="R6" s="1" t="s">
        <v>2</v>
      </c>
      <c r="S6" s="1" t="s">
        <v>4</v>
      </c>
      <c r="T6" s="1" t="s">
        <v>2</v>
      </c>
      <c r="U6" s="1" t="s">
        <v>3</v>
      </c>
      <c r="V6" s="1" t="s">
        <v>2</v>
      </c>
      <c r="W6" s="1" t="s">
        <v>3</v>
      </c>
      <c r="X6" s="1" t="s">
        <v>4</v>
      </c>
      <c r="Y6" s="1" t="s">
        <v>1</v>
      </c>
      <c r="Z6" s="1" t="s">
        <v>3</v>
      </c>
      <c r="AA6" s="1" t="s">
        <v>3</v>
      </c>
      <c r="AB6" s="1" t="s">
        <v>4</v>
      </c>
      <c r="AC6" s="1" t="s">
        <v>4</v>
      </c>
      <c r="AD6" s="1" t="s">
        <v>4</v>
      </c>
      <c r="AE6" s="1" t="s">
        <v>1</v>
      </c>
      <c r="AF6" s="1" t="s">
        <v>2</v>
      </c>
      <c r="AG6" s="1" t="s">
        <v>2</v>
      </c>
      <c r="AH6" s="1" t="s">
        <v>4</v>
      </c>
      <c r="AI6" s="1" t="s">
        <v>3</v>
      </c>
      <c r="AJ6" s="1" t="s">
        <v>3</v>
      </c>
      <c r="AK6" s="1" t="s">
        <v>4</v>
      </c>
      <c r="AL6" s="1" t="s">
        <v>4</v>
      </c>
      <c r="AM6" s="1" t="s">
        <v>2</v>
      </c>
      <c r="AN6" s="1" t="s">
        <v>4</v>
      </c>
      <c r="AO6" s="1" t="s">
        <v>3</v>
      </c>
      <c r="AP6" s="1" t="s">
        <v>3</v>
      </c>
      <c r="AQ6" s="1" t="s">
        <v>2</v>
      </c>
      <c r="AR6" s="1" t="s">
        <v>1</v>
      </c>
      <c r="AS6" s="1" t="s">
        <v>2</v>
      </c>
      <c r="AT6" s="1" t="s">
        <v>1</v>
      </c>
      <c r="AU6" s="1" t="s">
        <v>1</v>
      </c>
      <c r="AV6" s="1" t="s">
        <v>1</v>
      </c>
      <c r="AW6" s="1" t="s">
        <v>2</v>
      </c>
      <c r="AX6" s="1" t="s">
        <v>4</v>
      </c>
      <c r="AY6" s="1" t="s">
        <v>2</v>
      </c>
      <c r="AZ6" s="1" t="s">
        <v>3</v>
      </c>
      <c r="BA6" s="1" t="s">
        <v>4</v>
      </c>
      <c r="BB6" s="1" t="s">
        <v>1</v>
      </c>
      <c r="BC6" s="1" t="s">
        <v>1</v>
      </c>
      <c r="BD6" s="1" t="s">
        <v>3</v>
      </c>
      <c r="BE6" s="1" t="s">
        <v>3</v>
      </c>
      <c r="BF6" s="1" t="s">
        <v>1</v>
      </c>
      <c r="BG6" s="1" t="s">
        <v>2</v>
      </c>
    </row>
    <row r="7" spans="1:59" x14ac:dyDescent="0.2">
      <c r="A7">
        <v>4</v>
      </c>
      <c r="B7" t="s">
        <v>117</v>
      </c>
      <c r="C7" s="5" t="s">
        <v>168</v>
      </c>
      <c r="D7" t="s">
        <v>116</v>
      </c>
      <c r="E7">
        <v>43908</v>
      </c>
      <c r="G7" s="7" cm="1">
        <f t="array" ref="G7">SUMPRODUCT(--(J7:BG7=$J$1:$BG$1))</f>
        <v>20</v>
      </c>
      <c r="H7" s="16">
        <f t="shared" si="1"/>
        <v>-0.29409093220265431</v>
      </c>
      <c r="I7" s="10">
        <f t="shared" si="0"/>
        <v>0.4</v>
      </c>
      <c r="J7" s="1" t="s">
        <v>1</v>
      </c>
      <c r="K7" s="1" t="s">
        <v>2</v>
      </c>
      <c r="L7" s="1" t="s">
        <v>1</v>
      </c>
      <c r="M7" s="1" t="s">
        <v>4</v>
      </c>
      <c r="N7" s="1" t="s">
        <v>1</v>
      </c>
      <c r="O7" s="1" t="s">
        <v>1</v>
      </c>
      <c r="P7" s="1" t="s">
        <v>3</v>
      </c>
      <c r="Q7" s="1" t="s">
        <v>4</v>
      </c>
      <c r="R7" s="1" t="s">
        <v>2</v>
      </c>
      <c r="S7" s="1" t="s">
        <v>3</v>
      </c>
      <c r="T7" s="1" t="s">
        <v>3</v>
      </c>
      <c r="U7" s="1" t="s">
        <v>1</v>
      </c>
      <c r="V7" s="1" t="s">
        <v>2</v>
      </c>
      <c r="W7" s="1" t="s">
        <v>3</v>
      </c>
      <c r="X7" s="1" t="s">
        <v>4</v>
      </c>
      <c r="Y7" s="1" t="s">
        <v>1</v>
      </c>
      <c r="Z7" s="1" t="s">
        <v>3</v>
      </c>
      <c r="AA7" s="1" t="s">
        <v>1</v>
      </c>
      <c r="AB7" s="1" t="s">
        <v>2</v>
      </c>
      <c r="AC7" s="1" t="s">
        <v>3</v>
      </c>
      <c r="AD7" s="1" t="s">
        <v>1</v>
      </c>
      <c r="AE7" s="1" t="s">
        <v>4</v>
      </c>
      <c r="AF7" s="1" t="s">
        <v>2</v>
      </c>
      <c r="AG7" s="1" t="s">
        <v>1</v>
      </c>
      <c r="AH7" s="1" t="s">
        <v>1</v>
      </c>
      <c r="AI7" s="1" t="s">
        <v>3</v>
      </c>
      <c r="AJ7" s="1" t="s">
        <v>3</v>
      </c>
      <c r="AK7" s="1" t="s">
        <v>3</v>
      </c>
      <c r="AL7" s="1" t="s">
        <v>4</v>
      </c>
      <c r="AM7" s="1" t="s">
        <v>2</v>
      </c>
      <c r="AN7" s="1" t="s">
        <v>3</v>
      </c>
      <c r="AO7" s="1" t="s">
        <v>1</v>
      </c>
      <c r="AP7" s="1" t="s">
        <v>3</v>
      </c>
      <c r="AQ7" s="1" t="s">
        <v>4</v>
      </c>
      <c r="AR7" s="1" t="s">
        <v>2</v>
      </c>
      <c r="AS7" s="1" t="s">
        <v>4</v>
      </c>
      <c r="AT7" s="1" t="s">
        <v>2</v>
      </c>
      <c r="AU7" s="1" t="s">
        <v>1</v>
      </c>
      <c r="AV7" s="1" t="s">
        <v>3</v>
      </c>
      <c r="AW7" s="1" t="s">
        <v>3</v>
      </c>
      <c r="AX7" s="1" t="s">
        <v>3</v>
      </c>
      <c r="AY7" s="1" t="s">
        <v>4</v>
      </c>
      <c r="AZ7" s="1" t="s">
        <v>3</v>
      </c>
      <c r="BA7" s="1" t="s">
        <v>4</v>
      </c>
      <c r="BB7" s="1" t="s">
        <v>2</v>
      </c>
      <c r="BC7" s="1" t="s">
        <v>1</v>
      </c>
      <c r="BD7" s="1" t="s">
        <v>2</v>
      </c>
      <c r="BE7" s="1" t="s">
        <v>3</v>
      </c>
      <c r="BF7" s="1" t="s">
        <v>2</v>
      </c>
      <c r="BG7" s="1" t="s">
        <v>2</v>
      </c>
    </row>
    <row r="8" spans="1:59" x14ac:dyDescent="0.2">
      <c r="A8">
        <v>5</v>
      </c>
      <c r="B8" t="s">
        <v>71</v>
      </c>
      <c r="C8" s="5" t="s">
        <v>155</v>
      </c>
      <c r="D8" t="s">
        <v>70</v>
      </c>
      <c r="E8">
        <v>43911</v>
      </c>
      <c r="G8" s="7" cm="1">
        <f t="array" ref="G8">SUMPRODUCT(--(J8:BG8=$J$1:$BG$1))</f>
        <v>22</v>
      </c>
      <c r="H8" s="16" t="str">
        <f t="shared" si="1"/>
        <v>+0.0</v>
      </c>
      <c r="I8" s="10">
        <f t="shared" si="0"/>
        <v>0.44</v>
      </c>
      <c r="J8" s="1" t="s">
        <v>1</v>
      </c>
      <c r="K8" s="1" t="s">
        <v>2</v>
      </c>
      <c r="L8" s="1" t="s">
        <v>1</v>
      </c>
      <c r="M8" s="1" t="s">
        <v>2</v>
      </c>
      <c r="N8" s="1" t="s">
        <v>3</v>
      </c>
      <c r="O8" s="1" t="s">
        <v>3</v>
      </c>
      <c r="P8" s="1" t="s">
        <v>3</v>
      </c>
      <c r="Q8" s="1" t="s">
        <v>4</v>
      </c>
      <c r="R8" s="1" t="s">
        <v>2</v>
      </c>
      <c r="S8" s="1" t="s">
        <v>2</v>
      </c>
      <c r="T8" s="1" t="s">
        <v>3</v>
      </c>
      <c r="U8" s="1" t="s">
        <v>4</v>
      </c>
      <c r="V8" s="1" t="s">
        <v>3</v>
      </c>
      <c r="W8" s="1" t="s">
        <v>1</v>
      </c>
      <c r="X8" s="1" t="s">
        <v>4</v>
      </c>
      <c r="Y8" s="1" t="s">
        <v>4</v>
      </c>
      <c r="Z8" s="1" t="s">
        <v>3</v>
      </c>
      <c r="AA8" s="1" t="s">
        <v>4</v>
      </c>
      <c r="AB8" s="1" t="s">
        <v>3</v>
      </c>
      <c r="AC8" s="1" t="s">
        <v>3</v>
      </c>
      <c r="AD8" s="1" t="s">
        <v>2</v>
      </c>
      <c r="AE8" s="1" t="s">
        <v>1</v>
      </c>
      <c r="AF8" s="1" t="s">
        <v>2</v>
      </c>
      <c r="AG8" s="1" t="s">
        <v>2</v>
      </c>
      <c r="AH8" s="1" t="s">
        <v>4</v>
      </c>
      <c r="AI8" s="1" t="s">
        <v>3</v>
      </c>
      <c r="AJ8" s="1" t="s">
        <v>4</v>
      </c>
      <c r="AK8" s="1" t="s">
        <v>3</v>
      </c>
      <c r="AL8" s="1" t="s">
        <v>1</v>
      </c>
      <c r="AM8" s="1" t="s">
        <v>4</v>
      </c>
      <c r="AN8" s="1" t="s">
        <v>3</v>
      </c>
      <c r="AO8" s="1" t="s">
        <v>1</v>
      </c>
      <c r="AP8" s="1" t="s">
        <v>3</v>
      </c>
      <c r="AQ8" s="1" t="s">
        <v>2</v>
      </c>
      <c r="AR8" s="1" t="s">
        <v>4</v>
      </c>
      <c r="AS8" s="1" t="s">
        <v>2</v>
      </c>
      <c r="AT8" s="1" t="s">
        <v>4</v>
      </c>
      <c r="AU8" s="1" t="s">
        <v>1</v>
      </c>
      <c r="AV8" s="1" t="s">
        <v>2</v>
      </c>
      <c r="AW8" s="1" t="s">
        <v>2</v>
      </c>
      <c r="AX8" s="1" t="s">
        <v>3</v>
      </c>
      <c r="AY8" s="1" t="s">
        <v>1</v>
      </c>
      <c r="AZ8" s="1" t="s">
        <v>1</v>
      </c>
      <c r="BA8" s="1" t="s">
        <v>4</v>
      </c>
      <c r="BB8" s="1" t="s">
        <v>3</v>
      </c>
      <c r="BC8" s="1" t="s">
        <v>2</v>
      </c>
      <c r="BD8" s="1" t="s">
        <v>3</v>
      </c>
      <c r="BE8" s="1" t="s">
        <v>3</v>
      </c>
      <c r="BF8" s="1" t="s">
        <v>1</v>
      </c>
      <c r="BG8" s="1" t="s">
        <v>3</v>
      </c>
    </row>
    <row r="9" spans="1:59" x14ac:dyDescent="0.2">
      <c r="A9">
        <v>6</v>
      </c>
      <c r="B9" t="s">
        <v>95</v>
      </c>
      <c r="C9" s="5" t="s">
        <v>162</v>
      </c>
      <c r="D9" t="s">
        <v>94</v>
      </c>
      <c r="E9">
        <v>43908</v>
      </c>
      <c r="G9" s="7" cm="1">
        <f t="array" ref="G9">SUMPRODUCT(--(J9:BG9=$J$1:$BG$1))</f>
        <v>17</v>
      </c>
      <c r="H9" s="16">
        <f t="shared" si="1"/>
        <v>-0.75335622358762089</v>
      </c>
      <c r="I9" s="10">
        <f t="shared" si="0"/>
        <v>0.34</v>
      </c>
      <c r="J9" s="1" t="s">
        <v>1</v>
      </c>
      <c r="K9" s="1" t="s">
        <v>1</v>
      </c>
      <c r="L9" s="1" t="s">
        <v>3</v>
      </c>
      <c r="M9" s="1" t="s">
        <v>2</v>
      </c>
      <c r="N9" s="1" t="s">
        <v>4</v>
      </c>
      <c r="O9" s="1" t="s">
        <v>2</v>
      </c>
      <c r="P9" s="1" t="s">
        <v>4</v>
      </c>
      <c r="Q9" s="1" t="s">
        <v>4</v>
      </c>
      <c r="R9" s="1" t="s">
        <v>4</v>
      </c>
      <c r="S9" s="1" t="s">
        <v>2</v>
      </c>
      <c r="T9" s="1" t="s">
        <v>3</v>
      </c>
      <c r="U9" s="1" t="s">
        <v>1</v>
      </c>
      <c r="V9" s="1" t="s">
        <v>2</v>
      </c>
      <c r="W9" s="1" t="s">
        <v>1</v>
      </c>
      <c r="X9" s="1" t="s">
        <v>4</v>
      </c>
      <c r="Y9" s="1" t="s">
        <v>2</v>
      </c>
      <c r="Z9" s="1" t="s">
        <v>3</v>
      </c>
      <c r="AA9" s="1" t="s">
        <v>4</v>
      </c>
      <c r="AB9" s="1" t="s">
        <v>3</v>
      </c>
      <c r="AC9" s="1" t="s">
        <v>1</v>
      </c>
      <c r="AD9" s="1" t="s">
        <v>2</v>
      </c>
      <c r="AE9" s="1" t="s">
        <v>1</v>
      </c>
      <c r="AF9" s="1" t="s">
        <v>1</v>
      </c>
      <c r="AG9" s="1" t="s">
        <v>3</v>
      </c>
      <c r="AH9" s="1" t="s">
        <v>4</v>
      </c>
      <c r="AI9" s="1" t="s">
        <v>1</v>
      </c>
      <c r="AJ9" s="1" t="s">
        <v>2</v>
      </c>
      <c r="AK9" s="1" t="s">
        <v>1</v>
      </c>
      <c r="AL9" s="1" t="s">
        <v>4</v>
      </c>
      <c r="AM9" s="1" t="s">
        <v>3</v>
      </c>
      <c r="AN9" s="1" t="s">
        <v>3</v>
      </c>
      <c r="AO9" s="1" t="s">
        <v>4</v>
      </c>
      <c r="AP9" s="1" t="s">
        <v>4</v>
      </c>
      <c r="AQ9" s="1" t="s">
        <v>2</v>
      </c>
      <c r="AR9" s="1" t="s">
        <v>1</v>
      </c>
      <c r="AS9" s="1" t="s">
        <v>2</v>
      </c>
      <c r="AT9" s="1" t="s">
        <v>3</v>
      </c>
      <c r="AU9" s="1" t="s">
        <v>3</v>
      </c>
      <c r="AV9" s="1" t="s">
        <v>4</v>
      </c>
      <c r="AW9" s="1" t="s">
        <v>2</v>
      </c>
      <c r="AX9" s="1" t="s">
        <v>3</v>
      </c>
      <c r="AY9" s="1" t="s">
        <v>1</v>
      </c>
      <c r="AZ9" s="1" t="s">
        <v>3</v>
      </c>
      <c r="BA9" s="1" t="s">
        <v>3</v>
      </c>
      <c r="BB9" s="1" t="s">
        <v>4</v>
      </c>
      <c r="BC9" s="1" t="s">
        <v>3</v>
      </c>
      <c r="BD9" s="1" t="s">
        <v>4</v>
      </c>
      <c r="BE9" s="1" t="s">
        <v>3</v>
      </c>
      <c r="BF9" s="1" t="s">
        <v>3</v>
      </c>
      <c r="BG9" s="1" t="s">
        <v>2</v>
      </c>
    </row>
    <row r="10" spans="1:59" x14ac:dyDescent="0.2">
      <c r="A10">
        <v>7</v>
      </c>
      <c r="B10" t="s">
        <v>69</v>
      </c>
      <c r="C10" s="5" t="s">
        <v>154</v>
      </c>
      <c r="D10" t="s">
        <v>68</v>
      </c>
      <c r="E10">
        <v>43908</v>
      </c>
      <c r="G10" s="7" cm="1">
        <f t="array" ref="G10">SUMPRODUCT(--(J10:BG10=$J$1:$BG$1))</f>
        <v>16</v>
      </c>
      <c r="H10" s="16">
        <f t="shared" si="1"/>
        <v>-0.90644465404927643</v>
      </c>
      <c r="I10" s="10">
        <f t="shared" si="0"/>
        <v>0.32</v>
      </c>
      <c r="J10" s="1" t="s">
        <v>1</v>
      </c>
      <c r="K10" s="1" t="s">
        <v>1</v>
      </c>
      <c r="L10" s="1" t="s">
        <v>3</v>
      </c>
      <c r="M10" s="1" t="s">
        <v>2</v>
      </c>
      <c r="N10" s="1" t="s">
        <v>3</v>
      </c>
      <c r="O10" s="1" t="s">
        <v>1</v>
      </c>
      <c r="P10" s="1" t="s">
        <v>2</v>
      </c>
      <c r="Q10" s="1" t="s">
        <v>4</v>
      </c>
      <c r="R10" s="1" t="s">
        <v>4</v>
      </c>
      <c r="S10" s="1" t="s">
        <v>2</v>
      </c>
      <c r="T10" s="1" t="s">
        <v>2</v>
      </c>
      <c r="U10" s="1" t="s">
        <v>4</v>
      </c>
      <c r="V10" s="1" t="s">
        <v>2</v>
      </c>
      <c r="W10" s="1" t="s">
        <v>3</v>
      </c>
      <c r="X10" s="1" t="s">
        <v>4</v>
      </c>
      <c r="Y10" s="1" t="s">
        <v>1</v>
      </c>
      <c r="Z10" s="1" t="s">
        <v>4</v>
      </c>
      <c r="AA10" s="1" t="s">
        <v>3</v>
      </c>
      <c r="AB10" s="1" t="s">
        <v>2</v>
      </c>
      <c r="AC10" s="1" t="s">
        <v>2</v>
      </c>
      <c r="AD10" s="1" t="s">
        <v>3</v>
      </c>
      <c r="AE10" s="1" t="s">
        <v>4</v>
      </c>
      <c r="AF10" s="1" t="s">
        <v>1</v>
      </c>
      <c r="AG10" s="1" t="s">
        <v>2</v>
      </c>
      <c r="AH10" s="1" t="s">
        <v>4</v>
      </c>
      <c r="AI10" s="1" t="s">
        <v>3</v>
      </c>
      <c r="AJ10" s="1" t="s">
        <v>1</v>
      </c>
      <c r="AK10" s="1" t="s">
        <v>2</v>
      </c>
      <c r="AL10" s="1" t="s">
        <v>4</v>
      </c>
      <c r="AM10" s="1" t="s">
        <v>1</v>
      </c>
      <c r="AN10" s="1" t="s">
        <v>2</v>
      </c>
      <c r="AO10" s="1" t="s">
        <v>4</v>
      </c>
      <c r="AP10" s="1" t="s">
        <v>3</v>
      </c>
      <c r="AQ10" s="1" t="s">
        <v>1</v>
      </c>
      <c r="AR10" s="1" t="s">
        <v>3</v>
      </c>
      <c r="AS10" s="1" t="s">
        <v>2</v>
      </c>
      <c r="AT10" s="1" t="s">
        <v>4</v>
      </c>
      <c r="AU10" s="1" t="s">
        <v>4</v>
      </c>
      <c r="AV10" s="1" t="s">
        <v>1</v>
      </c>
      <c r="AW10" s="1" t="s">
        <v>2</v>
      </c>
      <c r="AX10" s="1" t="s">
        <v>4</v>
      </c>
      <c r="AY10" s="1" t="s">
        <v>2</v>
      </c>
      <c r="AZ10" s="1" t="s">
        <v>4</v>
      </c>
      <c r="BA10" s="1" t="s">
        <v>1</v>
      </c>
      <c r="BB10" s="1" t="s">
        <v>3</v>
      </c>
      <c r="BC10" s="1" t="s">
        <v>1</v>
      </c>
      <c r="BD10" s="1" t="s">
        <v>2</v>
      </c>
      <c r="BE10" s="1" t="s">
        <v>3</v>
      </c>
      <c r="BF10" s="1" t="s">
        <v>2</v>
      </c>
      <c r="BG10" s="1" t="s">
        <v>3</v>
      </c>
    </row>
    <row r="11" spans="1:59" x14ac:dyDescent="0.2">
      <c r="A11">
        <v>8</v>
      </c>
      <c r="B11" t="s">
        <v>139</v>
      </c>
      <c r="C11" s="5" t="s">
        <v>174</v>
      </c>
      <c r="D11" t="s">
        <v>138</v>
      </c>
      <c r="E11">
        <v>43911</v>
      </c>
      <c r="G11" s="7" cm="1">
        <f t="array" ref="G11">SUMPRODUCT(--(J11:BG11=$J$1:$BG$1))</f>
        <v>20</v>
      </c>
      <c r="H11" s="16">
        <f t="shared" si="1"/>
        <v>-0.29409093220265431</v>
      </c>
      <c r="I11" s="10">
        <f t="shared" si="0"/>
        <v>0.4</v>
      </c>
      <c r="J11" s="1" t="s">
        <v>3</v>
      </c>
      <c r="K11" s="1" t="s">
        <v>3</v>
      </c>
      <c r="L11" s="1" t="s">
        <v>2</v>
      </c>
      <c r="M11" s="1" t="s">
        <v>4</v>
      </c>
      <c r="N11" s="1" t="s">
        <v>1</v>
      </c>
      <c r="O11" s="1" t="s">
        <v>1</v>
      </c>
      <c r="P11" s="1" t="s">
        <v>3</v>
      </c>
      <c r="Q11" s="1" t="s">
        <v>2</v>
      </c>
      <c r="R11" s="1" t="s">
        <v>1</v>
      </c>
      <c r="S11" s="1" t="s">
        <v>4</v>
      </c>
      <c r="T11" s="1" t="s">
        <v>3</v>
      </c>
      <c r="U11" s="1" t="s">
        <v>4</v>
      </c>
      <c r="V11" s="1" t="s">
        <v>3</v>
      </c>
      <c r="W11" s="1" t="s">
        <v>3</v>
      </c>
      <c r="X11" s="1" t="s">
        <v>3</v>
      </c>
      <c r="Y11" s="1" t="s">
        <v>4</v>
      </c>
      <c r="Z11" s="1" t="s">
        <v>3</v>
      </c>
      <c r="AA11" s="1" t="s">
        <v>3</v>
      </c>
      <c r="AB11" s="1" t="s">
        <v>2</v>
      </c>
      <c r="AC11" s="1" t="s">
        <v>2</v>
      </c>
      <c r="AD11" s="1" t="s">
        <v>4</v>
      </c>
      <c r="AE11" s="1" t="s">
        <v>3</v>
      </c>
      <c r="AF11" s="1" t="s">
        <v>1</v>
      </c>
      <c r="AG11" s="1" t="s">
        <v>4</v>
      </c>
      <c r="AH11" s="1" t="s">
        <v>4</v>
      </c>
      <c r="AI11" s="1" t="s">
        <v>1</v>
      </c>
      <c r="AJ11" s="1" t="s">
        <v>1</v>
      </c>
      <c r="AK11" s="1" t="s">
        <v>3</v>
      </c>
      <c r="AL11" s="1" t="s">
        <v>3</v>
      </c>
      <c r="AM11" s="1" t="s">
        <v>3</v>
      </c>
      <c r="AN11" s="1" t="s">
        <v>2</v>
      </c>
      <c r="AO11" s="1" t="s">
        <v>1</v>
      </c>
      <c r="AP11" s="1" t="s">
        <v>3</v>
      </c>
      <c r="AQ11" s="1" t="s">
        <v>1</v>
      </c>
      <c r="AR11" s="1" t="s">
        <v>3</v>
      </c>
      <c r="AS11" s="1" t="s">
        <v>2</v>
      </c>
      <c r="AT11" s="1" t="s">
        <v>1</v>
      </c>
      <c r="AU11" s="1" t="s">
        <v>4</v>
      </c>
      <c r="AV11" s="1" t="s">
        <v>4</v>
      </c>
      <c r="AW11" s="1" t="s">
        <v>3</v>
      </c>
      <c r="AX11" s="1" t="s">
        <v>3</v>
      </c>
      <c r="AY11" s="1" t="s">
        <v>2</v>
      </c>
      <c r="AZ11" s="1" t="s">
        <v>3</v>
      </c>
      <c r="BA11" s="1" t="s">
        <v>2</v>
      </c>
      <c r="BB11" s="1" t="s">
        <v>4</v>
      </c>
      <c r="BC11" s="1" t="s">
        <v>3</v>
      </c>
      <c r="BD11" s="1" t="s">
        <v>2</v>
      </c>
      <c r="BE11" s="1" t="s">
        <v>3</v>
      </c>
      <c r="BF11" s="1" t="s">
        <v>2</v>
      </c>
      <c r="BG11" s="1" t="s">
        <v>3</v>
      </c>
    </row>
    <row r="12" spans="1:59" x14ac:dyDescent="0.2">
      <c r="A12">
        <v>9</v>
      </c>
      <c r="B12" t="s">
        <v>127</v>
      </c>
      <c r="C12" s="5" t="s">
        <v>170</v>
      </c>
      <c r="D12" t="s">
        <v>126</v>
      </c>
      <c r="E12">
        <v>43911</v>
      </c>
      <c r="G12" s="7" cm="1">
        <f t="array" ref="G12">SUMPRODUCT(--(J12:BG12=$J$1:$BG$1))</f>
        <v>15</v>
      </c>
      <c r="H12" s="16">
        <f t="shared" si="1"/>
        <v>-1.0595330845109321</v>
      </c>
      <c r="I12" s="10">
        <f t="shared" si="0"/>
        <v>0.3</v>
      </c>
      <c r="J12" s="1" t="s">
        <v>3</v>
      </c>
      <c r="K12" s="1" t="s">
        <v>1</v>
      </c>
      <c r="L12" s="1" t="s">
        <v>4</v>
      </c>
      <c r="M12" s="1" t="s">
        <v>2</v>
      </c>
      <c r="N12" s="1" t="s">
        <v>3</v>
      </c>
      <c r="O12" s="1" t="s">
        <v>3</v>
      </c>
      <c r="P12" s="1" t="s">
        <v>4</v>
      </c>
      <c r="Q12" s="1" t="s">
        <v>4</v>
      </c>
      <c r="R12" s="1" t="s">
        <v>4</v>
      </c>
      <c r="S12" s="1" t="s">
        <v>2</v>
      </c>
      <c r="T12" s="1" t="s">
        <v>2</v>
      </c>
      <c r="U12" s="1" t="s">
        <v>3</v>
      </c>
      <c r="V12" s="1" t="s">
        <v>3</v>
      </c>
      <c r="W12" s="1" t="s">
        <v>1</v>
      </c>
      <c r="X12" s="1" t="s">
        <v>4</v>
      </c>
      <c r="Y12" s="1" t="s">
        <v>2</v>
      </c>
      <c r="Z12" s="1" t="s">
        <v>2</v>
      </c>
      <c r="AA12" s="1" t="s">
        <v>1</v>
      </c>
      <c r="AB12" s="1" t="s">
        <v>4</v>
      </c>
      <c r="AC12" s="1" t="s">
        <v>2</v>
      </c>
      <c r="AD12" s="1" t="s">
        <v>2</v>
      </c>
      <c r="AE12" s="1" t="s">
        <v>2</v>
      </c>
      <c r="AF12" s="1" t="s">
        <v>3</v>
      </c>
      <c r="AG12" s="1" t="s">
        <v>3</v>
      </c>
      <c r="AH12" s="1" t="s">
        <v>1</v>
      </c>
      <c r="AI12" s="1" t="s">
        <v>3</v>
      </c>
      <c r="AJ12" s="1" t="s">
        <v>3</v>
      </c>
      <c r="AK12" s="1" t="s">
        <v>1</v>
      </c>
      <c r="AL12" s="1" t="s">
        <v>4</v>
      </c>
      <c r="AM12" s="1" t="s">
        <v>3</v>
      </c>
      <c r="AN12" s="1" t="s">
        <v>3</v>
      </c>
      <c r="AO12" s="1" t="s">
        <v>2</v>
      </c>
      <c r="AP12" s="1" t="s">
        <v>4</v>
      </c>
      <c r="AQ12" s="1" t="s">
        <v>2</v>
      </c>
      <c r="AR12" s="1" t="s">
        <v>1</v>
      </c>
      <c r="AS12" s="1" t="s">
        <v>4</v>
      </c>
      <c r="AT12" s="1" t="s">
        <v>2</v>
      </c>
      <c r="AU12" s="1" t="s">
        <v>4</v>
      </c>
      <c r="AV12" s="1" t="s">
        <v>2</v>
      </c>
      <c r="AW12" s="1" t="s">
        <v>3</v>
      </c>
      <c r="AX12" s="1" t="s">
        <v>3</v>
      </c>
      <c r="AY12" s="1" t="s">
        <v>3</v>
      </c>
      <c r="AZ12" s="1" t="s">
        <v>3</v>
      </c>
      <c r="BA12" s="1" t="s">
        <v>4</v>
      </c>
      <c r="BB12" s="1" t="s">
        <v>4</v>
      </c>
      <c r="BC12" s="1" t="s">
        <v>2</v>
      </c>
      <c r="BD12" s="1" t="s">
        <v>2</v>
      </c>
      <c r="BE12" s="1" t="s">
        <v>3</v>
      </c>
      <c r="BF12" s="1" t="s">
        <v>3</v>
      </c>
      <c r="BG12" s="1" t="s">
        <v>2</v>
      </c>
    </row>
    <row r="13" spans="1:59" x14ac:dyDescent="0.2">
      <c r="A13">
        <v>10</v>
      </c>
      <c r="B13" t="s">
        <v>109</v>
      </c>
      <c r="C13" s="5" t="s">
        <v>166</v>
      </c>
      <c r="D13" t="s">
        <v>108</v>
      </c>
      <c r="E13">
        <v>43911</v>
      </c>
      <c r="G13" s="7" cm="1">
        <f t="array" ref="G13">SUMPRODUCT(--(J13:BG13=$J$1:$BG$1))</f>
        <v>16</v>
      </c>
      <c r="H13" s="16">
        <f t="shared" si="1"/>
        <v>-0.90644465404927643</v>
      </c>
      <c r="I13" s="10">
        <f t="shared" si="0"/>
        <v>0.32</v>
      </c>
      <c r="J13" s="1" t="s">
        <v>1</v>
      </c>
      <c r="K13" s="1" t="s">
        <v>4</v>
      </c>
      <c r="L13" s="1" t="s">
        <v>3</v>
      </c>
      <c r="M13" s="1" t="s">
        <v>3</v>
      </c>
      <c r="N13" s="1" t="s">
        <v>3</v>
      </c>
      <c r="O13" s="1" t="s">
        <v>4</v>
      </c>
      <c r="P13" s="1" t="s">
        <v>4</v>
      </c>
      <c r="Q13" s="1" t="s">
        <v>2</v>
      </c>
      <c r="R13" s="1" t="s">
        <v>2</v>
      </c>
      <c r="S13" s="1" t="s">
        <v>3</v>
      </c>
      <c r="T13" s="1" t="s">
        <v>3</v>
      </c>
      <c r="U13" s="1" t="s">
        <v>1</v>
      </c>
      <c r="V13" s="1" t="s">
        <v>2</v>
      </c>
      <c r="W13" s="1" t="s">
        <v>3</v>
      </c>
      <c r="X13" s="1" t="s">
        <v>2</v>
      </c>
      <c r="Y13" s="1" t="s">
        <v>3</v>
      </c>
      <c r="Z13" s="1" t="s">
        <v>3</v>
      </c>
      <c r="AA13" s="1" t="s">
        <v>4</v>
      </c>
      <c r="AB13" s="1" t="s">
        <v>1</v>
      </c>
      <c r="AC13" s="1" t="s">
        <v>2</v>
      </c>
      <c r="AD13" s="1" t="s">
        <v>2</v>
      </c>
      <c r="AE13" s="1" t="s">
        <v>4</v>
      </c>
      <c r="AF13" s="1" t="s">
        <v>1</v>
      </c>
      <c r="AG13" s="1" t="s">
        <v>1</v>
      </c>
      <c r="AH13" s="1" t="s">
        <v>2</v>
      </c>
      <c r="AI13" s="1" t="s">
        <v>4</v>
      </c>
      <c r="AJ13" s="1" t="s">
        <v>4</v>
      </c>
      <c r="AK13" s="1" t="s">
        <v>3</v>
      </c>
      <c r="AL13" s="1" t="s">
        <v>4</v>
      </c>
      <c r="AM13" s="1" t="s">
        <v>3</v>
      </c>
      <c r="AN13" s="1" t="s">
        <v>2</v>
      </c>
      <c r="AO13" s="1" t="s">
        <v>2</v>
      </c>
      <c r="AP13" s="1" t="s">
        <v>3</v>
      </c>
      <c r="AQ13" s="1" t="s">
        <v>4</v>
      </c>
      <c r="AR13" s="1" t="s">
        <v>2</v>
      </c>
      <c r="AS13" s="1" t="s">
        <v>2</v>
      </c>
      <c r="AT13" s="1" t="s">
        <v>2</v>
      </c>
      <c r="AU13" s="1" t="s">
        <v>4</v>
      </c>
      <c r="AV13" s="1" t="s">
        <v>3</v>
      </c>
      <c r="AW13" s="1" t="s">
        <v>4</v>
      </c>
      <c r="AX13" s="1" t="s">
        <v>3</v>
      </c>
      <c r="AY13" s="1" t="s">
        <v>2</v>
      </c>
      <c r="AZ13" s="1" t="s">
        <v>4</v>
      </c>
      <c r="BA13" s="1" t="s">
        <v>4</v>
      </c>
      <c r="BB13" s="1" t="s">
        <v>3</v>
      </c>
      <c r="BC13" s="1" t="s">
        <v>2</v>
      </c>
      <c r="BD13" s="1" t="s">
        <v>3</v>
      </c>
      <c r="BE13" s="1" t="s">
        <v>2</v>
      </c>
      <c r="BF13" s="1" t="s">
        <v>3</v>
      </c>
      <c r="BG13" s="1" t="s">
        <v>4</v>
      </c>
    </row>
    <row r="14" spans="1:59" x14ac:dyDescent="0.2">
      <c r="A14">
        <v>11</v>
      </c>
      <c r="B14" t="s">
        <v>107</v>
      </c>
      <c r="C14" s="5" t="s">
        <v>165</v>
      </c>
      <c r="D14" t="s">
        <v>106</v>
      </c>
      <c r="E14">
        <v>43911</v>
      </c>
      <c r="G14" s="7" cm="1">
        <f t="array" ref="G14">SUMPRODUCT(--(J14:BG14=$J$1:$BG$1))</f>
        <v>26</v>
      </c>
      <c r="H14" s="16" t="str">
        <f t="shared" si="1"/>
        <v>+0.6</v>
      </c>
      <c r="I14" s="10">
        <f t="shared" si="0"/>
        <v>0.52</v>
      </c>
      <c r="J14" s="1" t="s">
        <v>1</v>
      </c>
      <c r="K14" s="1" t="s">
        <v>2</v>
      </c>
      <c r="L14" s="1" t="s">
        <v>1</v>
      </c>
      <c r="M14" s="1" t="s">
        <v>2</v>
      </c>
      <c r="N14" s="1" t="s">
        <v>2</v>
      </c>
      <c r="O14" s="1" t="s">
        <v>3</v>
      </c>
      <c r="P14" s="1" t="s">
        <v>2</v>
      </c>
      <c r="Q14" s="1" t="s">
        <v>4</v>
      </c>
      <c r="R14" s="1" t="s">
        <v>4</v>
      </c>
      <c r="S14" s="1" t="s">
        <v>4</v>
      </c>
      <c r="T14" s="1" t="s">
        <v>3</v>
      </c>
      <c r="U14" s="1" t="s">
        <v>2</v>
      </c>
      <c r="V14" s="1" t="s">
        <v>1</v>
      </c>
      <c r="W14" s="1" t="s">
        <v>3</v>
      </c>
      <c r="X14" s="1" t="s">
        <v>2</v>
      </c>
      <c r="Y14" s="1" t="s">
        <v>2</v>
      </c>
      <c r="Z14" s="1" t="s">
        <v>3</v>
      </c>
      <c r="AA14" s="1" t="s">
        <v>1</v>
      </c>
      <c r="AB14" s="1" t="s">
        <v>2</v>
      </c>
      <c r="AC14" s="1" t="s">
        <v>2</v>
      </c>
      <c r="AD14" s="1" t="s">
        <v>4</v>
      </c>
      <c r="AE14" s="1" t="s">
        <v>2</v>
      </c>
      <c r="AF14" s="1" t="s">
        <v>1</v>
      </c>
      <c r="AG14" s="1" t="s">
        <v>2</v>
      </c>
      <c r="AH14" s="1" t="s">
        <v>4</v>
      </c>
      <c r="AI14" s="1" t="s">
        <v>3</v>
      </c>
      <c r="AJ14" s="1" t="s">
        <v>4</v>
      </c>
      <c r="AK14" s="1" t="s">
        <v>1</v>
      </c>
      <c r="AL14" s="1" t="s">
        <v>2</v>
      </c>
      <c r="AM14" s="1" t="s">
        <v>3</v>
      </c>
      <c r="AN14" s="1" t="s">
        <v>1</v>
      </c>
      <c r="AO14" s="1" t="s">
        <v>1</v>
      </c>
      <c r="AP14" s="1" t="s">
        <v>3</v>
      </c>
      <c r="AQ14" s="1" t="s">
        <v>2</v>
      </c>
      <c r="AR14" s="1" t="s">
        <v>1</v>
      </c>
      <c r="AS14" s="1" t="s">
        <v>2</v>
      </c>
      <c r="AT14" s="1" t="s">
        <v>2</v>
      </c>
      <c r="AU14" s="1" t="s">
        <v>1</v>
      </c>
      <c r="AV14" s="1" t="s">
        <v>2</v>
      </c>
      <c r="AW14" s="1" t="s">
        <v>2</v>
      </c>
      <c r="AX14" s="1" t="s">
        <v>3</v>
      </c>
      <c r="AY14" s="1" t="s">
        <v>2</v>
      </c>
      <c r="AZ14" s="1" t="s">
        <v>3</v>
      </c>
      <c r="BA14" s="1" t="s">
        <v>2</v>
      </c>
      <c r="BB14" s="1" t="s">
        <v>3</v>
      </c>
      <c r="BC14" s="1" t="s">
        <v>2</v>
      </c>
      <c r="BD14" s="1" t="s">
        <v>4</v>
      </c>
      <c r="BE14" s="1" t="s">
        <v>3</v>
      </c>
      <c r="BF14" s="1" t="s">
        <v>2</v>
      </c>
      <c r="BG14" s="1" t="s">
        <v>3</v>
      </c>
    </row>
    <row r="15" spans="1:59" x14ac:dyDescent="0.2">
      <c r="A15">
        <v>12</v>
      </c>
      <c r="B15" t="s">
        <v>149</v>
      </c>
      <c r="C15" s="5" t="s">
        <v>178</v>
      </c>
      <c r="D15" t="s">
        <v>148</v>
      </c>
      <c r="E15">
        <v>43911</v>
      </c>
      <c r="G15" s="7" cm="1">
        <f t="array" ref="G15">SUMPRODUCT(--(J15:BG15=$J$1:$BG$1))</f>
        <v>26</v>
      </c>
      <c r="H15" s="16" t="str">
        <f t="shared" si="1"/>
        <v>+0.6</v>
      </c>
      <c r="I15" s="10">
        <f t="shared" si="0"/>
        <v>0.52</v>
      </c>
      <c r="J15" s="1" t="s">
        <v>1</v>
      </c>
      <c r="K15" s="1" t="s">
        <v>4</v>
      </c>
      <c r="L15" s="1" t="s">
        <v>3</v>
      </c>
      <c r="M15" s="1" t="s">
        <v>2</v>
      </c>
      <c r="N15" s="1" t="s">
        <v>3</v>
      </c>
      <c r="O15" s="1" t="s">
        <v>2</v>
      </c>
      <c r="P15" s="1" t="s">
        <v>4</v>
      </c>
      <c r="Q15" s="1" t="s">
        <v>4</v>
      </c>
      <c r="R15" s="1" t="s">
        <v>2</v>
      </c>
      <c r="S15" s="1" t="s">
        <v>4</v>
      </c>
      <c r="T15" s="1" t="s">
        <v>2</v>
      </c>
      <c r="U15" s="1" t="s">
        <v>3</v>
      </c>
      <c r="V15" s="1" t="s">
        <v>3</v>
      </c>
      <c r="W15" s="1" t="s">
        <v>3</v>
      </c>
      <c r="X15" s="1" t="s">
        <v>4</v>
      </c>
      <c r="Y15" s="1" t="s">
        <v>3</v>
      </c>
      <c r="Z15" s="1" t="s">
        <v>3</v>
      </c>
      <c r="AA15" s="1" t="s">
        <v>1</v>
      </c>
      <c r="AB15" s="1" t="s">
        <v>4</v>
      </c>
      <c r="AC15" s="1" t="s">
        <v>3</v>
      </c>
      <c r="AD15" s="1" t="s">
        <v>4</v>
      </c>
      <c r="AE15" s="1" t="s">
        <v>1</v>
      </c>
      <c r="AF15" s="1" t="s">
        <v>1</v>
      </c>
      <c r="AG15" s="1" t="s">
        <v>2</v>
      </c>
      <c r="AH15" s="1" t="s">
        <v>4</v>
      </c>
      <c r="AI15" s="1" t="s">
        <v>3</v>
      </c>
      <c r="AJ15" s="1" t="s">
        <v>2</v>
      </c>
      <c r="AK15" s="1" t="s">
        <v>3</v>
      </c>
      <c r="AL15" s="1" t="s">
        <v>1</v>
      </c>
      <c r="AM15" s="1" t="s">
        <v>3</v>
      </c>
      <c r="AN15" s="1" t="s">
        <v>1</v>
      </c>
      <c r="AO15" s="1" t="s">
        <v>1</v>
      </c>
      <c r="AP15" s="1" t="s">
        <v>3</v>
      </c>
      <c r="AQ15" s="1" t="s">
        <v>2</v>
      </c>
      <c r="AR15" s="1" t="s">
        <v>1</v>
      </c>
      <c r="AS15" s="1" t="s">
        <v>2</v>
      </c>
      <c r="AT15" s="1" t="s">
        <v>2</v>
      </c>
      <c r="AU15" s="1" t="s">
        <v>1</v>
      </c>
      <c r="AV15" s="1" t="s">
        <v>2</v>
      </c>
      <c r="AW15" s="1" t="s">
        <v>1</v>
      </c>
      <c r="AX15" s="1" t="s">
        <v>4</v>
      </c>
      <c r="AY15" s="1" t="s">
        <v>3</v>
      </c>
      <c r="AZ15" s="1" t="s">
        <v>3</v>
      </c>
      <c r="BA15" s="1" t="s">
        <v>4</v>
      </c>
      <c r="BB15" s="1" t="s">
        <v>2</v>
      </c>
      <c r="BC15" s="1" t="s">
        <v>3</v>
      </c>
      <c r="BD15" s="1" t="s">
        <v>2</v>
      </c>
      <c r="BE15" s="1" t="s">
        <v>3</v>
      </c>
      <c r="BF15" s="1" t="s">
        <v>3</v>
      </c>
      <c r="BG15" s="1" t="s">
        <v>2</v>
      </c>
    </row>
    <row r="16" spans="1:59" x14ac:dyDescent="0.2">
      <c r="A16">
        <v>13</v>
      </c>
      <c r="B16" t="s">
        <v>81</v>
      </c>
      <c r="C16" s="5" t="s">
        <v>158</v>
      </c>
      <c r="D16" t="s">
        <v>80</v>
      </c>
      <c r="E16">
        <v>43908</v>
      </c>
      <c r="G16" s="7" cm="1">
        <f t="array" ref="G16">SUMPRODUCT(--(J16:BG16=$J$1:$BG$1))</f>
        <v>25</v>
      </c>
      <c r="H16" s="16" t="str">
        <f t="shared" si="1"/>
        <v>+0.5</v>
      </c>
      <c r="I16" s="10">
        <f t="shared" si="0"/>
        <v>0.5</v>
      </c>
      <c r="J16" s="1" t="s">
        <v>1</v>
      </c>
      <c r="K16" s="1" t="s">
        <v>4</v>
      </c>
      <c r="L16" s="1" t="s">
        <v>1</v>
      </c>
      <c r="M16" s="1" t="s">
        <v>1</v>
      </c>
      <c r="N16" s="1" t="s">
        <v>1</v>
      </c>
      <c r="O16" s="1" t="s">
        <v>3</v>
      </c>
      <c r="P16" s="1" t="s">
        <v>2</v>
      </c>
      <c r="Q16" s="1" t="s">
        <v>4</v>
      </c>
      <c r="R16" s="1" t="s">
        <v>2</v>
      </c>
      <c r="S16" s="1" t="s">
        <v>4</v>
      </c>
      <c r="T16" s="1" t="s">
        <v>3</v>
      </c>
      <c r="U16" s="1" t="s">
        <v>4</v>
      </c>
      <c r="V16" s="1" t="s">
        <v>3</v>
      </c>
      <c r="W16" s="1" t="s">
        <v>1</v>
      </c>
      <c r="X16" s="1" t="s">
        <v>3</v>
      </c>
      <c r="Y16" s="1" t="s">
        <v>4</v>
      </c>
      <c r="Z16" s="1" t="s">
        <v>4</v>
      </c>
      <c r="AA16" s="1" t="s">
        <v>1</v>
      </c>
      <c r="AB16" s="1" t="s">
        <v>2</v>
      </c>
      <c r="AC16" s="1" t="s">
        <v>1</v>
      </c>
      <c r="AD16" s="1" t="s">
        <v>4</v>
      </c>
      <c r="AE16" s="1" t="s">
        <v>2</v>
      </c>
      <c r="AF16" s="1" t="s">
        <v>1</v>
      </c>
      <c r="AG16" s="1" t="s">
        <v>4</v>
      </c>
      <c r="AH16" s="1" t="s">
        <v>2</v>
      </c>
      <c r="AI16" s="1" t="s">
        <v>3</v>
      </c>
      <c r="AJ16" s="1" t="s">
        <v>3</v>
      </c>
      <c r="AK16" s="1" t="s">
        <v>3</v>
      </c>
      <c r="AL16" s="1" t="s">
        <v>1</v>
      </c>
      <c r="AM16" s="1" t="s">
        <v>1</v>
      </c>
      <c r="AN16" s="1" t="s">
        <v>3</v>
      </c>
      <c r="AO16" s="1" t="s">
        <v>3</v>
      </c>
      <c r="AP16" s="1" t="s">
        <v>4</v>
      </c>
      <c r="AQ16" s="1" t="s">
        <v>3</v>
      </c>
      <c r="AR16" s="1" t="s">
        <v>1</v>
      </c>
      <c r="AS16" s="1" t="s">
        <v>2</v>
      </c>
      <c r="AT16" s="1" t="s">
        <v>2</v>
      </c>
      <c r="AU16" s="1" t="s">
        <v>4</v>
      </c>
      <c r="AV16" s="1" t="s">
        <v>3</v>
      </c>
      <c r="AW16" s="1" t="s">
        <v>3</v>
      </c>
      <c r="AX16" s="1" t="s">
        <v>4</v>
      </c>
      <c r="AY16" s="1" t="s">
        <v>4</v>
      </c>
      <c r="AZ16" s="1" t="s">
        <v>3</v>
      </c>
      <c r="BA16" s="1" t="s">
        <v>1</v>
      </c>
      <c r="BB16" s="1" t="s">
        <v>1</v>
      </c>
      <c r="BC16" s="1" t="s">
        <v>2</v>
      </c>
      <c r="BD16" s="1" t="s">
        <v>4</v>
      </c>
      <c r="BE16" s="1" t="s">
        <v>3</v>
      </c>
      <c r="BF16" s="1" t="s">
        <v>2</v>
      </c>
      <c r="BG16" s="1" t="s">
        <v>3</v>
      </c>
    </row>
    <row r="17" spans="1:59" x14ac:dyDescent="0.2">
      <c r="A17">
        <v>14</v>
      </c>
      <c r="B17" t="s">
        <v>87</v>
      </c>
      <c r="C17" s="5" t="s">
        <v>160</v>
      </c>
      <c r="D17" t="s">
        <v>86</v>
      </c>
      <c r="E17">
        <v>43908</v>
      </c>
      <c r="G17" s="7" cm="1">
        <f t="array" ref="G17">SUMPRODUCT(--(J17:BG17=$J$1:$BG$1))</f>
        <v>18</v>
      </c>
      <c r="H17" s="16">
        <f t="shared" si="1"/>
        <v>-0.60026779312596534</v>
      </c>
      <c r="I17" s="10">
        <f t="shared" si="0"/>
        <v>0.36</v>
      </c>
      <c r="J17" s="1" t="s">
        <v>3</v>
      </c>
      <c r="K17" s="1" t="s">
        <v>3</v>
      </c>
      <c r="L17" s="1" t="s">
        <v>1</v>
      </c>
      <c r="M17" s="1" t="s">
        <v>2</v>
      </c>
      <c r="N17" s="1" t="s">
        <v>1</v>
      </c>
      <c r="O17" s="1" t="s">
        <v>3</v>
      </c>
      <c r="P17" s="1" t="s">
        <v>2</v>
      </c>
      <c r="Q17" s="1" t="s">
        <v>4</v>
      </c>
      <c r="R17" s="1" t="s">
        <v>2</v>
      </c>
      <c r="S17" s="1" t="s">
        <v>2</v>
      </c>
      <c r="T17" s="1" t="s">
        <v>4</v>
      </c>
      <c r="U17" s="1" t="s">
        <v>3</v>
      </c>
      <c r="V17" s="1" t="s">
        <v>3</v>
      </c>
      <c r="W17" s="1" t="s">
        <v>2</v>
      </c>
      <c r="X17" s="1" t="s">
        <v>3</v>
      </c>
      <c r="Y17" s="1" t="s">
        <v>4</v>
      </c>
      <c r="Z17" s="1" t="s">
        <v>4</v>
      </c>
      <c r="AA17" s="1" t="s">
        <v>4</v>
      </c>
      <c r="AB17" s="1" t="s">
        <v>1</v>
      </c>
      <c r="AC17" s="1" t="s">
        <v>1</v>
      </c>
      <c r="AD17" s="1" t="s">
        <v>4</v>
      </c>
      <c r="AE17" s="1" t="s">
        <v>2</v>
      </c>
      <c r="AF17" s="1" t="s">
        <v>2</v>
      </c>
      <c r="AG17" s="1" t="s">
        <v>2</v>
      </c>
      <c r="AH17" s="1" t="s">
        <v>1</v>
      </c>
      <c r="AI17" s="1" t="s">
        <v>1</v>
      </c>
      <c r="AJ17" s="1" t="s">
        <v>3</v>
      </c>
      <c r="AK17" s="1" t="s">
        <v>4</v>
      </c>
      <c r="AL17" s="1" t="s">
        <v>4</v>
      </c>
      <c r="AM17" s="1" t="s">
        <v>2</v>
      </c>
      <c r="AN17" s="1" t="s">
        <v>1</v>
      </c>
      <c r="AO17" s="1" t="s">
        <v>1</v>
      </c>
      <c r="AP17" s="1" t="s">
        <v>2</v>
      </c>
      <c r="AQ17" s="1" t="s">
        <v>1</v>
      </c>
      <c r="AR17" s="1" t="s">
        <v>3</v>
      </c>
      <c r="AS17" s="1" t="s">
        <v>4</v>
      </c>
      <c r="AT17" s="1" t="s">
        <v>2</v>
      </c>
      <c r="AU17" s="1" t="s">
        <v>4</v>
      </c>
      <c r="AV17" s="1" t="s">
        <v>2</v>
      </c>
      <c r="AW17" s="1" t="s">
        <v>2</v>
      </c>
      <c r="AX17" s="1" t="s">
        <v>3</v>
      </c>
      <c r="AY17" s="1" t="s">
        <v>1</v>
      </c>
      <c r="AZ17" s="1" t="s">
        <v>3</v>
      </c>
      <c r="BA17" s="1" t="s">
        <v>4</v>
      </c>
      <c r="BB17" s="1" t="s">
        <v>3</v>
      </c>
      <c r="BC17" s="1" t="s">
        <v>1</v>
      </c>
      <c r="BD17" s="1" t="s">
        <v>4</v>
      </c>
      <c r="BE17" s="1" t="s">
        <v>3</v>
      </c>
      <c r="BF17" s="1" t="s">
        <v>3</v>
      </c>
      <c r="BG17" s="1" t="s">
        <v>2</v>
      </c>
    </row>
    <row r="18" spans="1:59" x14ac:dyDescent="0.2">
      <c r="A18">
        <v>15</v>
      </c>
      <c r="B18" t="s">
        <v>75</v>
      </c>
      <c r="C18" s="5" t="s">
        <v>157</v>
      </c>
      <c r="D18" t="s">
        <v>74</v>
      </c>
      <c r="E18">
        <v>43908</v>
      </c>
      <c r="G18" s="7" cm="1">
        <f t="array" ref="G18">SUMPRODUCT(--(J18:BG18=$J$1:$BG$1))</f>
        <v>17</v>
      </c>
      <c r="H18" s="16">
        <f t="shared" si="1"/>
        <v>-0.75335622358762089</v>
      </c>
      <c r="I18" s="10">
        <f t="shared" si="0"/>
        <v>0.34</v>
      </c>
      <c r="J18" s="1" t="s">
        <v>1</v>
      </c>
      <c r="K18" s="1" t="s">
        <v>1</v>
      </c>
      <c r="L18" s="1" t="s">
        <v>4</v>
      </c>
      <c r="M18" s="1" t="s">
        <v>3</v>
      </c>
      <c r="N18" s="1" t="s">
        <v>1</v>
      </c>
      <c r="O18" s="1" t="s">
        <v>2</v>
      </c>
      <c r="P18" s="1" t="s">
        <v>4</v>
      </c>
      <c r="Q18" s="1" t="s">
        <v>4</v>
      </c>
      <c r="R18" s="1" t="s">
        <v>4</v>
      </c>
      <c r="S18" s="1" t="s">
        <v>3</v>
      </c>
      <c r="T18" s="1" t="s">
        <v>3</v>
      </c>
      <c r="U18" s="1" t="s">
        <v>4</v>
      </c>
      <c r="V18" s="1" t="s">
        <v>2</v>
      </c>
      <c r="W18" s="1" t="s">
        <v>2</v>
      </c>
      <c r="X18" s="1" t="s">
        <v>4</v>
      </c>
      <c r="Y18" s="1" t="s">
        <v>2</v>
      </c>
      <c r="Z18" s="1" t="s">
        <v>3</v>
      </c>
      <c r="AA18" s="1" t="s">
        <v>3</v>
      </c>
      <c r="AB18" s="1" t="s">
        <v>4</v>
      </c>
      <c r="AC18" s="1" t="s">
        <v>3</v>
      </c>
      <c r="AD18" s="1" t="s">
        <v>1</v>
      </c>
      <c r="AE18" s="1" t="s">
        <v>4</v>
      </c>
      <c r="AF18" s="1" t="s">
        <v>3</v>
      </c>
      <c r="AG18" s="1" t="s">
        <v>1</v>
      </c>
      <c r="AH18" s="1" t="s">
        <v>3</v>
      </c>
      <c r="AI18" s="1" t="s">
        <v>3</v>
      </c>
      <c r="AJ18" s="1" t="s">
        <v>2</v>
      </c>
      <c r="AK18" s="1" t="s">
        <v>1</v>
      </c>
      <c r="AL18" s="1" t="s">
        <v>4</v>
      </c>
      <c r="AM18" s="1" t="s">
        <v>1</v>
      </c>
      <c r="AN18" s="1" t="s">
        <v>2</v>
      </c>
      <c r="AO18" s="1" t="s">
        <v>2</v>
      </c>
      <c r="AP18" s="1" t="s">
        <v>3</v>
      </c>
      <c r="AQ18" s="1" t="s">
        <v>4</v>
      </c>
      <c r="AR18" s="1" t="s">
        <v>1</v>
      </c>
      <c r="AS18" s="1" t="s">
        <v>3</v>
      </c>
      <c r="AT18" s="1" t="s">
        <v>2</v>
      </c>
      <c r="AU18" s="1" t="s">
        <v>2</v>
      </c>
      <c r="AV18" s="1" t="s">
        <v>4</v>
      </c>
      <c r="AW18" s="1" t="s">
        <v>2</v>
      </c>
      <c r="AX18" s="1" t="s">
        <v>3</v>
      </c>
      <c r="AY18" s="1" t="s">
        <v>2</v>
      </c>
      <c r="AZ18" s="1" t="s">
        <v>1</v>
      </c>
      <c r="BA18" s="1" t="s">
        <v>3</v>
      </c>
      <c r="BB18" s="1" t="s">
        <v>4</v>
      </c>
      <c r="BC18" s="1" t="s">
        <v>3</v>
      </c>
      <c r="BD18" s="1" t="s">
        <v>2</v>
      </c>
      <c r="BE18" s="1" t="s">
        <v>3</v>
      </c>
      <c r="BF18" s="1" t="s">
        <v>2</v>
      </c>
      <c r="BG18" s="1" t="s">
        <v>2</v>
      </c>
    </row>
    <row r="19" spans="1:59" x14ac:dyDescent="0.2">
      <c r="A19">
        <v>16</v>
      </c>
      <c r="B19" t="s">
        <v>73</v>
      </c>
      <c r="C19" s="5" t="s">
        <v>156</v>
      </c>
      <c r="D19" t="s">
        <v>72</v>
      </c>
      <c r="E19">
        <v>43908</v>
      </c>
      <c r="G19" s="7" cm="1">
        <f t="array" ref="G19">SUMPRODUCT(--(J19:BG19=$J$1:$BG$1))</f>
        <v>16</v>
      </c>
      <c r="H19" s="16">
        <f t="shared" si="1"/>
        <v>-0.90644465404927643</v>
      </c>
      <c r="I19" s="10">
        <f t="shared" si="0"/>
        <v>0.32</v>
      </c>
      <c r="J19" s="1" t="s">
        <v>3</v>
      </c>
      <c r="K19" s="1" t="s">
        <v>1</v>
      </c>
      <c r="L19" s="1" t="s">
        <v>2</v>
      </c>
      <c r="M19" s="1" t="s">
        <v>2</v>
      </c>
      <c r="N19" s="1" t="s">
        <v>3</v>
      </c>
      <c r="O19" s="1" t="s">
        <v>3</v>
      </c>
      <c r="P19" s="1" t="s">
        <v>2</v>
      </c>
      <c r="Q19" s="1" t="s">
        <v>4</v>
      </c>
      <c r="R19" s="1" t="s">
        <v>2</v>
      </c>
      <c r="S19" s="1" t="s">
        <v>2</v>
      </c>
      <c r="T19" s="1" t="s">
        <v>2</v>
      </c>
      <c r="U19" s="1" t="s">
        <v>4</v>
      </c>
      <c r="V19" s="1" t="s">
        <v>4</v>
      </c>
      <c r="W19" s="1" t="s">
        <v>3</v>
      </c>
      <c r="X19" s="1" t="s">
        <v>4</v>
      </c>
      <c r="Y19" s="1" t="s">
        <v>1</v>
      </c>
      <c r="Z19" s="1" t="s">
        <v>3</v>
      </c>
      <c r="AA19" s="1" t="s">
        <v>1</v>
      </c>
      <c r="AB19" s="1" t="s">
        <v>4</v>
      </c>
      <c r="AC19" s="1" t="s">
        <v>1</v>
      </c>
      <c r="AD19" s="1" t="s">
        <v>4</v>
      </c>
      <c r="AE19" s="1" t="s">
        <v>1</v>
      </c>
      <c r="AF19" s="1" t="s">
        <v>4</v>
      </c>
      <c r="AG19" s="1" t="s">
        <v>4</v>
      </c>
      <c r="AH19" s="1" t="s">
        <v>2</v>
      </c>
      <c r="AI19" s="1" t="s">
        <v>3</v>
      </c>
      <c r="AJ19" s="1" t="s">
        <v>4</v>
      </c>
      <c r="AK19" s="1" t="s">
        <v>1</v>
      </c>
      <c r="AL19" s="1" t="s">
        <v>1</v>
      </c>
      <c r="AM19" s="1" t="s">
        <v>3</v>
      </c>
      <c r="AN19" s="1" t="s">
        <v>1</v>
      </c>
      <c r="AO19" s="1" t="s">
        <v>1</v>
      </c>
      <c r="AP19" s="1" t="s">
        <v>4</v>
      </c>
      <c r="AQ19" s="1" t="s">
        <v>3</v>
      </c>
      <c r="AR19" s="1" t="s">
        <v>1</v>
      </c>
      <c r="AS19" s="1" t="s">
        <v>3</v>
      </c>
      <c r="AT19" s="1" t="s">
        <v>4</v>
      </c>
      <c r="AU19" s="1" t="s">
        <v>3</v>
      </c>
      <c r="AV19" s="1" t="s">
        <v>2</v>
      </c>
      <c r="AW19" s="1" t="s">
        <v>4</v>
      </c>
      <c r="AX19" s="1" t="s">
        <v>3</v>
      </c>
      <c r="AY19" s="1" t="s">
        <v>2</v>
      </c>
      <c r="AZ19" s="1" t="s">
        <v>3</v>
      </c>
      <c r="BA19" s="1" t="s">
        <v>2</v>
      </c>
      <c r="BB19" s="1" t="s">
        <v>4</v>
      </c>
      <c r="BC19" s="1" t="s">
        <v>3</v>
      </c>
      <c r="BD19" s="1" t="s">
        <v>4</v>
      </c>
      <c r="BE19" s="1" t="s">
        <v>1</v>
      </c>
      <c r="BF19" s="1" t="s">
        <v>3</v>
      </c>
      <c r="BG19" s="1" t="s">
        <v>2</v>
      </c>
    </row>
    <row r="20" spans="1:59" x14ac:dyDescent="0.2">
      <c r="A20">
        <v>17</v>
      </c>
      <c r="B20" t="s">
        <v>91</v>
      </c>
      <c r="C20" s="5" t="s">
        <v>161</v>
      </c>
      <c r="D20" t="s">
        <v>90</v>
      </c>
      <c r="E20">
        <v>43908</v>
      </c>
      <c r="G20" s="7" cm="1">
        <f t="array" ref="G20">SUMPRODUCT(--(J20:BG20=$J$1:$BG$1))</f>
        <v>15</v>
      </c>
      <c r="H20" s="16">
        <f t="shared" si="1"/>
        <v>-1.0595330845109321</v>
      </c>
      <c r="I20" s="10">
        <f t="shared" si="0"/>
        <v>0.3</v>
      </c>
      <c r="J20" s="1" t="s">
        <v>4</v>
      </c>
      <c r="K20" s="1" t="s">
        <v>1</v>
      </c>
      <c r="L20" s="1" t="s">
        <v>1</v>
      </c>
      <c r="M20" s="1" t="s">
        <v>3</v>
      </c>
      <c r="N20" s="1" t="s">
        <v>3</v>
      </c>
      <c r="O20" s="1" t="s">
        <v>1</v>
      </c>
      <c r="P20" s="1" t="s">
        <v>2</v>
      </c>
      <c r="Q20" s="1" t="s">
        <v>2</v>
      </c>
      <c r="R20" s="1" t="s">
        <v>4</v>
      </c>
      <c r="S20" s="1" t="s">
        <v>2</v>
      </c>
      <c r="T20" s="1" t="s">
        <v>3</v>
      </c>
      <c r="U20" s="1" t="s">
        <v>1</v>
      </c>
      <c r="V20" s="1" t="s">
        <v>4</v>
      </c>
      <c r="W20" s="1" t="s">
        <v>2</v>
      </c>
      <c r="X20" s="1" t="s">
        <v>4</v>
      </c>
      <c r="Y20" s="1" t="s">
        <v>1</v>
      </c>
      <c r="Z20" s="1" t="s">
        <v>3</v>
      </c>
      <c r="AA20" s="1" t="s">
        <v>1</v>
      </c>
      <c r="AB20" s="1" t="s">
        <v>2</v>
      </c>
      <c r="AC20" s="1" t="s">
        <v>2</v>
      </c>
      <c r="AD20" s="1" t="s">
        <v>3</v>
      </c>
      <c r="AE20" s="1" t="s">
        <v>4</v>
      </c>
      <c r="AF20" s="1" t="s">
        <v>2</v>
      </c>
      <c r="AG20" s="1" t="s">
        <v>3</v>
      </c>
      <c r="AH20" s="1" t="s">
        <v>1</v>
      </c>
      <c r="AI20" s="1" t="s">
        <v>2</v>
      </c>
      <c r="AJ20" s="1" t="s">
        <v>3</v>
      </c>
      <c r="AK20" s="1" t="s">
        <v>1</v>
      </c>
      <c r="AL20" s="1" t="s">
        <v>4</v>
      </c>
      <c r="AM20" s="1" t="s">
        <v>2</v>
      </c>
      <c r="AN20" s="1" t="s">
        <v>3</v>
      </c>
      <c r="AO20" s="1" t="s">
        <v>2</v>
      </c>
      <c r="AP20" s="1" t="s">
        <v>3</v>
      </c>
      <c r="AQ20" s="1" t="s">
        <v>2</v>
      </c>
      <c r="AR20" s="1" t="s">
        <v>4</v>
      </c>
      <c r="AS20" s="1" t="s">
        <v>2</v>
      </c>
      <c r="AT20" s="1" t="s">
        <v>2</v>
      </c>
      <c r="AU20" s="1" t="s">
        <v>1</v>
      </c>
      <c r="AV20" s="1" t="s">
        <v>2</v>
      </c>
      <c r="AW20" s="1" t="s">
        <v>4</v>
      </c>
      <c r="AX20" s="1" t="s">
        <v>3</v>
      </c>
      <c r="AY20" s="1" t="s">
        <v>2</v>
      </c>
      <c r="AZ20" s="1" t="s">
        <v>2</v>
      </c>
      <c r="BA20" s="1" t="s">
        <v>4</v>
      </c>
      <c r="BB20" s="1" t="s">
        <v>3</v>
      </c>
      <c r="BC20" s="1" t="s">
        <v>4</v>
      </c>
      <c r="BD20" s="1" t="s">
        <v>2</v>
      </c>
      <c r="BE20" s="1" t="s">
        <v>2</v>
      </c>
      <c r="BF20" s="1" t="s">
        <v>2</v>
      </c>
      <c r="BG20" s="1" t="s">
        <v>2</v>
      </c>
    </row>
    <row r="21" spans="1:59" x14ac:dyDescent="0.2">
      <c r="A21">
        <v>18</v>
      </c>
      <c r="B21" t="s">
        <v>141</v>
      </c>
      <c r="C21" s="5" t="s">
        <v>175</v>
      </c>
      <c r="D21" t="s">
        <v>140</v>
      </c>
      <c r="E21">
        <v>43911</v>
      </c>
      <c r="G21" s="7" cm="1">
        <f t="array" ref="G21">SUMPRODUCT(--(J21:BG21=$J$1:$BG$1))</f>
        <v>36</v>
      </c>
      <c r="H21" s="16" t="str">
        <f t="shared" si="1"/>
        <v>+2.2</v>
      </c>
      <c r="I21" s="10">
        <f t="shared" si="0"/>
        <v>0.72</v>
      </c>
      <c r="J21" s="1" t="s">
        <v>1</v>
      </c>
      <c r="K21" s="1" t="s">
        <v>4</v>
      </c>
      <c r="L21" s="1" t="s">
        <v>3</v>
      </c>
      <c r="M21" s="1" t="s">
        <v>1</v>
      </c>
      <c r="N21" s="1" t="s">
        <v>4</v>
      </c>
      <c r="O21" s="1" t="s">
        <v>2</v>
      </c>
      <c r="P21" s="1" t="s">
        <v>3</v>
      </c>
      <c r="Q21" s="1" t="s">
        <v>4</v>
      </c>
      <c r="R21" s="1" t="s">
        <v>2</v>
      </c>
      <c r="S21" s="1" t="s">
        <v>4</v>
      </c>
      <c r="T21" s="1" t="s">
        <v>2</v>
      </c>
      <c r="U21" s="1" t="s">
        <v>4</v>
      </c>
      <c r="V21" s="1" t="s">
        <v>1</v>
      </c>
      <c r="W21" s="1" t="s">
        <v>1</v>
      </c>
      <c r="X21" s="1" t="s">
        <v>4</v>
      </c>
      <c r="Y21" s="1" t="s">
        <v>1</v>
      </c>
      <c r="Z21" s="1" t="s">
        <v>3</v>
      </c>
      <c r="AA21" s="1" t="s">
        <v>2</v>
      </c>
      <c r="AB21" s="1" t="s">
        <v>2</v>
      </c>
      <c r="AC21" s="1" t="s">
        <v>4</v>
      </c>
      <c r="AD21" s="1" t="s">
        <v>4</v>
      </c>
      <c r="AE21" s="1" t="s">
        <v>1</v>
      </c>
      <c r="AF21" s="1" t="s">
        <v>2</v>
      </c>
      <c r="AG21" s="1" t="s">
        <v>2</v>
      </c>
      <c r="AH21" s="1" t="s">
        <v>4</v>
      </c>
      <c r="AI21" s="1" t="s">
        <v>3</v>
      </c>
      <c r="AJ21" s="1" t="s">
        <v>3</v>
      </c>
      <c r="AK21" s="1" t="s">
        <v>4</v>
      </c>
      <c r="AL21" s="1" t="s">
        <v>1</v>
      </c>
      <c r="AM21" s="1" t="s">
        <v>4</v>
      </c>
      <c r="AN21" s="1" t="s">
        <v>1</v>
      </c>
      <c r="AO21" s="1" t="s">
        <v>4</v>
      </c>
      <c r="AP21" s="1" t="s">
        <v>3</v>
      </c>
      <c r="AQ21" s="1" t="s">
        <v>4</v>
      </c>
      <c r="AR21" s="1" t="s">
        <v>1</v>
      </c>
      <c r="AS21" s="1" t="s">
        <v>2</v>
      </c>
      <c r="AT21" s="1" t="s">
        <v>2</v>
      </c>
      <c r="AU21" s="1" t="s">
        <v>1</v>
      </c>
      <c r="AV21" s="1" t="s">
        <v>2</v>
      </c>
      <c r="AW21" s="1" t="s">
        <v>2</v>
      </c>
      <c r="AX21" s="1" t="s">
        <v>3</v>
      </c>
      <c r="AY21" s="1" t="s">
        <v>2</v>
      </c>
      <c r="AZ21" s="1" t="s">
        <v>3</v>
      </c>
      <c r="BA21" s="1" t="s">
        <v>4</v>
      </c>
      <c r="BB21" s="1" t="s">
        <v>4</v>
      </c>
      <c r="BC21" s="1" t="s">
        <v>2</v>
      </c>
      <c r="BD21" s="1" t="s">
        <v>2</v>
      </c>
      <c r="BE21" s="1" t="s">
        <v>3</v>
      </c>
      <c r="BF21" s="1" t="s">
        <v>4</v>
      </c>
      <c r="BG21" s="1" t="s">
        <v>3</v>
      </c>
    </row>
    <row r="22" spans="1:59" x14ac:dyDescent="0.2">
      <c r="A22">
        <v>19</v>
      </c>
      <c r="B22" t="s">
        <v>145</v>
      </c>
      <c r="C22" s="5" t="s">
        <v>176</v>
      </c>
      <c r="D22" t="s">
        <v>144</v>
      </c>
      <c r="E22">
        <v>43911</v>
      </c>
      <c r="G22" s="7" cm="1">
        <f t="array" ref="G22">SUMPRODUCT(--(J22:BG22=$J$1:$BG$1))</f>
        <v>31</v>
      </c>
      <c r="H22" s="16" t="str">
        <f t="shared" si="1"/>
        <v>+1.4</v>
      </c>
      <c r="I22" s="10">
        <f t="shared" si="0"/>
        <v>0.62</v>
      </c>
      <c r="J22" s="1" t="s">
        <v>1</v>
      </c>
      <c r="K22" s="1" t="s">
        <v>4</v>
      </c>
      <c r="L22" s="1" t="s">
        <v>3</v>
      </c>
      <c r="M22" s="1" t="s">
        <v>1</v>
      </c>
      <c r="N22" s="1" t="s">
        <v>3</v>
      </c>
      <c r="O22" s="1" t="s">
        <v>3</v>
      </c>
      <c r="P22" s="1" t="s">
        <v>3</v>
      </c>
      <c r="Q22" s="1" t="s">
        <v>4</v>
      </c>
      <c r="R22" s="1" t="s">
        <v>2</v>
      </c>
      <c r="S22" s="1" t="s">
        <v>3</v>
      </c>
      <c r="T22" s="1" t="s">
        <v>3</v>
      </c>
      <c r="U22" s="1" t="s">
        <v>4</v>
      </c>
      <c r="V22" s="1" t="s">
        <v>4</v>
      </c>
      <c r="W22" s="1" t="s">
        <v>2</v>
      </c>
      <c r="X22" s="1" t="s">
        <v>3</v>
      </c>
      <c r="Y22" s="1" t="s">
        <v>4</v>
      </c>
      <c r="Z22" s="1" t="s">
        <v>3</v>
      </c>
      <c r="AA22" s="1" t="s">
        <v>1</v>
      </c>
      <c r="AB22" s="1" t="s">
        <v>2</v>
      </c>
      <c r="AC22" s="1" t="s">
        <v>4</v>
      </c>
      <c r="AD22" s="1" t="s">
        <v>1</v>
      </c>
      <c r="AE22" s="1" t="s">
        <v>4</v>
      </c>
      <c r="AF22" s="1" t="s">
        <v>2</v>
      </c>
      <c r="AG22" s="1" t="s">
        <v>1</v>
      </c>
      <c r="AH22" s="1" t="s">
        <v>4</v>
      </c>
      <c r="AI22" s="1" t="s">
        <v>3</v>
      </c>
      <c r="AJ22" s="1" t="s">
        <v>4</v>
      </c>
      <c r="AK22" s="1" t="s">
        <v>1</v>
      </c>
      <c r="AL22" s="1" t="s">
        <v>4</v>
      </c>
      <c r="AM22" s="1" t="s">
        <v>3</v>
      </c>
      <c r="AN22" s="1" t="s">
        <v>3</v>
      </c>
      <c r="AO22" s="1" t="s">
        <v>3</v>
      </c>
      <c r="AP22" s="1" t="s">
        <v>3</v>
      </c>
      <c r="AQ22" s="1" t="s">
        <v>2</v>
      </c>
      <c r="AR22" s="1" t="s">
        <v>1</v>
      </c>
      <c r="AS22" s="1" t="s">
        <v>2</v>
      </c>
      <c r="AT22" s="1" t="s">
        <v>2</v>
      </c>
      <c r="AU22" s="1" t="s">
        <v>1</v>
      </c>
      <c r="AV22" s="1" t="s">
        <v>4</v>
      </c>
      <c r="AW22" s="1" t="s">
        <v>1</v>
      </c>
      <c r="AX22" s="1" t="s">
        <v>3</v>
      </c>
      <c r="AY22" s="1" t="s">
        <v>3</v>
      </c>
      <c r="AZ22" s="1" t="s">
        <v>3</v>
      </c>
      <c r="BA22" s="1" t="s">
        <v>4</v>
      </c>
      <c r="BB22" s="1" t="s">
        <v>4</v>
      </c>
      <c r="BC22" s="1" t="s">
        <v>1</v>
      </c>
      <c r="BD22" s="1" t="s">
        <v>1</v>
      </c>
      <c r="BE22" s="1" t="s">
        <v>2</v>
      </c>
      <c r="BF22" s="1" t="s">
        <v>2</v>
      </c>
      <c r="BG22" s="1" t="s">
        <v>3</v>
      </c>
    </row>
    <row r="23" spans="1:59" x14ac:dyDescent="0.2">
      <c r="A23">
        <v>20</v>
      </c>
      <c r="B23" t="s">
        <v>83</v>
      </c>
      <c r="C23" s="5" t="s">
        <v>159</v>
      </c>
      <c r="D23" t="s">
        <v>82</v>
      </c>
      <c r="E23">
        <v>43908</v>
      </c>
      <c r="G23" s="7" cm="1">
        <f t="array" ref="G23">SUMPRODUCT(--(J23:BG23=$J$1:$BG$1))</f>
        <v>15</v>
      </c>
      <c r="H23" s="16">
        <f t="shared" si="1"/>
        <v>-1.0595330845109321</v>
      </c>
      <c r="I23" s="10">
        <f t="shared" si="0"/>
        <v>0.3</v>
      </c>
      <c r="J23" s="1" t="s">
        <v>1</v>
      </c>
      <c r="K23" s="1" t="s">
        <v>1</v>
      </c>
      <c r="L23" s="1" t="s">
        <v>4</v>
      </c>
      <c r="M23" s="1" t="s">
        <v>3</v>
      </c>
      <c r="N23" s="1" t="s">
        <v>3</v>
      </c>
      <c r="O23" s="1" t="s">
        <v>1</v>
      </c>
      <c r="P23" s="1" t="s">
        <v>4</v>
      </c>
      <c r="Q23" s="1" t="s">
        <v>2</v>
      </c>
      <c r="R23" s="1" t="s">
        <v>2</v>
      </c>
      <c r="S23" s="1" t="s">
        <v>3</v>
      </c>
      <c r="T23" s="1" t="s">
        <v>1</v>
      </c>
      <c r="U23" s="1" t="s">
        <v>2</v>
      </c>
      <c r="V23" s="1" t="s">
        <v>4</v>
      </c>
      <c r="W23" s="1" t="s">
        <v>4</v>
      </c>
      <c r="X23" s="1" t="s">
        <v>1</v>
      </c>
      <c r="Y23" s="1" t="s">
        <v>3</v>
      </c>
      <c r="Z23" s="1" t="s">
        <v>3</v>
      </c>
      <c r="AA23" s="1" t="s">
        <v>1</v>
      </c>
      <c r="AB23" s="1" t="s">
        <v>2</v>
      </c>
      <c r="AC23" s="1" t="s">
        <v>3</v>
      </c>
      <c r="AD23" s="1" t="s">
        <v>1</v>
      </c>
      <c r="AE23" s="1" t="s">
        <v>1</v>
      </c>
      <c r="AF23" s="1" t="s">
        <v>1</v>
      </c>
      <c r="AG23" s="1" t="s">
        <v>4</v>
      </c>
      <c r="AH23" s="1" t="s">
        <v>2</v>
      </c>
      <c r="AI23" s="1" t="s">
        <v>3</v>
      </c>
      <c r="AJ23" s="1" t="s">
        <v>3</v>
      </c>
      <c r="AK23" s="1" t="s">
        <v>2</v>
      </c>
      <c r="AL23" s="1" t="s">
        <v>1</v>
      </c>
      <c r="AM23" s="1" t="s">
        <v>2</v>
      </c>
      <c r="AN23" s="1" t="s">
        <v>4</v>
      </c>
      <c r="AO23" s="1" t="s">
        <v>3</v>
      </c>
      <c r="AP23" s="1" t="s">
        <v>3</v>
      </c>
      <c r="AQ23" s="1" t="s">
        <v>1</v>
      </c>
      <c r="AR23" s="1" t="s">
        <v>4</v>
      </c>
      <c r="AS23" s="1" t="s">
        <v>2</v>
      </c>
      <c r="AT23" s="1" t="s">
        <v>2</v>
      </c>
      <c r="AU23" s="1" t="s">
        <v>4</v>
      </c>
      <c r="AV23" s="1" t="s">
        <v>1</v>
      </c>
      <c r="AW23" s="1" t="s">
        <v>3</v>
      </c>
      <c r="AX23" s="1" t="s">
        <v>3</v>
      </c>
      <c r="AY23" s="1" t="s">
        <v>1</v>
      </c>
      <c r="AZ23" s="1" t="s">
        <v>2</v>
      </c>
      <c r="BA23" s="1" t="s">
        <v>4</v>
      </c>
      <c r="BB23" s="1" t="s">
        <v>1</v>
      </c>
      <c r="BC23" s="1" t="s">
        <v>3</v>
      </c>
      <c r="BD23" s="1" t="s">
        <v>2</v>
      </c>
      <c r="BE23" s="1" t="s">
        <v>3</v>
      </c>
      <c r="BF23" s="1" t="s">
        <v>2</v>
      </c>
      <c r="BG23" s="1" t="s">
        <v>2</v>
      </c>
    </row>
    <row r="24" spans="1:59" x14ac:dyDescent="0.2">
      <c r="A24">
        <v>21</v>
      </c>
      <c r="B24" t="s">
        <v>113</v>
      </c>
      <c r="C24" s="5" t="s">
        <v>167</v>
      </c>
      <c r="D24" t="s">
        <v>112</v>
      </c>
      <c r="E24">
        <v>43911</v>
      </c>
      <c r="G24" s="7" cm="1">
        <f t="array" ref="G24">SUMPRODUCT(--(J24:BG24=$J$1:$BG$1))</f>
        <v>18</v>
      </c>
      <c r="H24" s="16">
        <f t="shared" si="1"/>
        <v>-0.60026779312596534</v>
      </c>
      <c r="I24" s="10">
        <f t="shared" si="0"/>
        <v>0.36</v>
      </c>
      <c r="J24" s="1" t="s">
        <v>1</v>
      </c>
      <c r="K24" s="1" t="s">
        <v>4</v>
      </c>
      <c r="L24" s="1" t="s">
        <v>4</v>
      </c>
      <c r="M24" s="1" t="s">
        <v>1</v>
      </c>
      <c r="N24" s="1" t="s">
        <v>1</v>
      </c>
      <c r="O24" s="1" t="s">
        <v>1</v>
      </c>
      <c r="P24" s="1" t="s">
        <v>2</v>
      </c>
      <c r="Q24" s="1" t="s">
        <v>2</v>
      </c>
      <c r="R24" s="1" t="s">
        <v>1</v>
      </c>
      <c r="S24" s="1" t="s">
        <v>3</v>
      </c>
      <c r="T24" s="1" t="s">
        <v>2</v>
      </c>
      <c r="U24" s="1" t="s">
        <v>4</v>
      </c>
      <c r="V24" s="1" t="s">
        <v>3</v>
      </c>
      <c r="W24" s="1" t="s">
        <v>3</v>
      </c>
      <c r="X24" s="1" t="s">
        <v>2</v>
      </c>
      <c r="Y24" s="1" t="s">
        <v>3</v>
      </c>
      <c r="Z24" s="1" t="s">
        <v>4</v>
      </c>
      <c r="AA24" s="1" t="s">
        <v>4</v>
      </c>
      <c r="AB24" s="1" t="s">
        <v>3</v>
      </c>
      <c r="AC24" s="1" t="s">
        <v>2</v>
      </c>
      <c r="AD24" s="1" t="s">
        <v>4</v>
      </c>
      <c r="AE24" s="1" t="s">
        <v>2</v>
      </c>
      <c r="AF24" s="1" t="s">
        <v>2</v>
      </c>
      <c r="AG24" s="1" t="s">
        <v>4</v>
      </c>
      <c r="AH24" s="1" t="s">
        <v>4</v>
      </c>
      <c r="AI24" s="1" t="s">
        <v>3</v>
      </c>
      <c r="AJ24" s="1" t="s">
        <v>2</v>
      </c>
      <c r="AK24" s="1" t="s">
        <v>1</v>
      </c>
      <c r="AL24" s="1" t="s">
        <v>4</v>
      </c>
      <c r="AM24" s="1" t="s">
        <v>4</v>
      </c>
      <c r="AN24" s="1" t="s">
        <v>4</v>
      </c>
      <c r="AO24" s="1" t="s">
        <v>3</v>
      </c>
      <c r="AP24" s="1" t="s">
        <v>0</v>
      </c>
      <c r="AQ24" s="1" t="s">
        <v>1</v>
      </c>
      <c r="AR24" s="1" t="s">
        <v>4</v>
      </c>
      <c r="AS24" s="1" t="s">
        <v>4</v>
      </c>
      <c r="AT24" s="1" t="s">
        <v>4</v>
      </c>
      <c r="AU24" s="1" t="s">
        <v>4</v>
      </c>
      <c r="AV24" s="1" t="s">
        <v>2</v>
      </c>
      <c r="AW24" s="1" t="s">
        <v>2</v>
      </c>
      <c r="AX24" s="1" t="s">
        <v>3</v>
      </c>
      <c r="AY24" s="1" t="s">
        <v>2</v>
      </c>
      <c r="AZ24" s="1" t="s">
        <v>2</v>
      </c>
      <c r="BA24" s="1" t="s">
        <v>4</v>
      </c>
      <c r="BB24" s="1" t="s">
        <v>4</v>
      </c>
      <c r="BC24" s="1" t="s">
        <v>3</v>
      </c>
      <c r="BD24" s="1" t="s">
        <v>3</v>
      </c>
      <c r="BE24" s="1" t="s">
        <v>4</v>
      </c>
      <c r="BF24" s="1" t="s">
        <v>2</v>
      </c>
      <c r="BG24" s="1" t="s">
        <v>3</v>
      </c>
    </row>
    <row r="25" spans="1:59" x14ac:dyDescent="0.2">
      <c r="A25">
        <v>22</v>
      </c>
      <c r="B25" t="s">
        <v>147</v>
      </c>
      <c r="C25" s="5" t="s">
        <v>177</v>
      </c>
      <c r="D25" t="s">
        <v>146</v>
      </c>
      <c r="E25">
        <v>43911</v>
      </c>
      <c r="G25" s="7" cm="1">
        <f t="array" ref="G25">SUMPRODUCT(--(J25:BG25=$J$1:$BG$1))</f>
        <v>32</v>
      </c>
      <c r="H25" s="16" t="str">
        <f t="shared" si="1"/>
        <v>+1.5</v>
      </c>
      <c r="I25" s="10">
        <f t="shared" si="0"/>
        <v>0.64</v>
      </c>
      <c r="J25" s="1" t="s">
        <v>1</v>
      </c>
      <c r="K25" s="1" t="s">
        <v>4</v>
      </c>
      <c r="L25" s="1" t="s">
        <v>4</v>
      </c>
      <c r="M25" s="1" t="s">
        <v>1</v>
      </c>
      <c r="N25" s="1" t="s">
        <v>1</v>
      </c>
      <c r="O25" s="1" t="s">
        <v>2</v>
      </c>
      <c r="P25" s="1" t="s">
        <v>2</v>
      </c>
      <c r="Q25" s="1" t="s">
        <v>4</v>
      </c>
      <c r="R25" s="1" t="s">
        <v>2</v>
      </c>
      <c r="S25" s="1" t="s">
        <v>4</v>
      </c>
      <c r="T25" s="1" t="s">
        <v>2</v>
      </c>
      <c r="U25" s="1" t="s">
        <v>2</v>
      </c>
      <c r="V25" s="1" t="s">
        <v>4</v>
      </c>
      <c r="W25" s="1" t="s">
        <v>1</v>
      </c>
      <c r="X25" s="1" t="s">
        <v>3</v>
      </c>
      <c r="Y25" s="1" t="s">
        <v>1</v>
      </c>
      <c r="Z25" s="1" t="s">
        <v>3</v>
      </c>
      <c r="AA25" s="1" t="s">
        <v>1</v>
      </c>
      <c r="AB25" s="1" t="s">
        <v>2</v>
      </c>
      <c r="AC25" s="1" t="s">
        <v>2</v>
      </c>
      <c r="AD25" s="1" t="s">
        <v>4</v>
      </c>
      <c r="AE25" s="1" t="s">
        <v>2</v>
      </c>
      <c r="AF25" s="1" t="s">
        <v>2</v>
      </c>
      <c r="AG25" s="1" t="s">
        <v>1</v>
      </c>
      <c r="AH25" s="1" t="s">
        <v>4</v>
      </c>
      <c r="AI25" s="1" t="s">
        <v>3</v>
      </c>
      <c r="AJ25" s="1" t="s">
        <v>3</v>
      </c>
      <c r="AK25" s="1" t="s">
        <v>1</v>
      </c>
      <c r="AL25" s="1" t="s">
        <v>4</v>
      </c>
      <c r="AM25" s="1" t="s">
        <v>3</v>
      </c>
      <c r="AN25" s="1" t="s">
        <v>3</v>
      </c>
      <c r="AO25" s="1" t="s">
        <v>3</v>
      </c>
      <c r="AP25" s="1" t="s">
        <v>3</v>
      </c>
      <c r="AQ25" s="1" t="s">
        <v>2</v>
      </c>
      <c r="AR25" s="1" t="s">
        <v>1</v>
      </c>
      <c r="AS25" s="1" t="s">
        <v>2</v>
      </c>
      <c r="AT25" s="1" t="s">
        <v>4</v>
      </c>
      <c r="AU25" s="1" t="s">
        <v>1</v>
      </c>
      <c r="AV25" s="1" t="s">
        <v>2</v>
      </c>
      <c r="AW25" s="1" t="s">
        <v>1</v>
      </c>
      <c r="AX25" s="1" t="s">
        <v>4</v>
      </c>
      <c r="AY25" s="1" t="s">
        <v>1</v>
      </c>
      <c r="AZ25" s="1" t="s">
        <v>3</v>
      </c>
      <c r="BA25" s="1" t="s">
        <v>3</v>
      </c>
      <c r="BB25" s="1" t="s">
        <v>3</v>
      </c>
      <c r="BC25" s="1" t="s">
        <v>3</v>
      </c>
      <c r="BD25" s="1" t="s">
        <v>2</v>
      </c>
      <c r="BE25" s="1" t="s">
        <v>3</v>
      </c>
      <c r="BF25" s="1" t="s">
        <v>2</v>
      </c>
      <c r="BG25" s="1" t="s">
        <v>3</v>
      </c>
    </row>
    <row r="26" spans="1:59" x14ac:dyDescent="0.2">
      <c r="A26">
        <v>23</v>
      </c>
      <c r="B26" t="s">
        <v>143</v>
      </c>
      <c r="C26" s="4">
        <v>1001614</v>
      </c>
      <c r="D26" t="s">
        <v>142</v>
      </c>
      <c r="E26">
        <v>43911</v>
      </c>
      <c r="G26" s="7" cm="1">
        <f t="array" ref="G26">SUMPRODUCT(--(J26:BG26=$J$1:$BG$1))</f>
        <v>18</v>
      </c>
      <c r="H26" s="16">
        <f t="shared" si="1"/>
        <v>-0.60026779312596534</v>
      </c>
      <c r="I26" s="10">
        <f t="shared" si="0"/>
        <v>0.36</v>
      </c>
      <c r="J26" s="1" t="s">
        <v>1</v>
      </c>
      <c r="K26" s="1" t="s">
        <v>4</v>
      </c>
      <c r="L26" s="1" t="s">
        <v>3</v>
      </c>
      <c r="M26" s="1" t="s">
        <v>2</v>
      </c>
      <c r="N26" s="1" t="s">
        <v>4</v>
      </c>
      <c r="O26" s="1" t="s">
        <v>2</v>
      </c>
      <c r="P26" s="1" t="s">
        <v>1</v>
      </c>
      <c r="Q26" s="1" t="s">
        <v>4</v>
      </c>
      <c r="R26" s="1" t="s">
        <v>2</v>
      </c>
      <c r="S26" s="1" t="s">
        <v>1</v>
      </c>
      <c r="T26" s="1" t="s">
        <v>2</v>
      </c>
      <c r="U26" s="1" t="s">
        <v>6</v>
      </c>
      <c r="V26" s="1" t="s">
        <v>1</v>
      </c>
      <c r="W26" s="1" t="s">
        <v>3</v>
      </c>
      <c r="X26" s="1" t="s">
        <v>2</v>
      </c>
      <c r="Y26" s="1" t="s">
        <v>1</v>
      </c>
      <c r="Z26" s="1" t="s">
        <v>3</v>
      </c>
      <c r="AA26" s="1" t="s">
        <v>1</v>
      </c>
      <c r="AB26" s="1" t="s">
        <v>2</v>
      </c>
      <c r="AC26" s="1" t="s">
        <v>6</v>
      </c>
      <c r="AD26" s="1" t="s">
        <v>1</v>
      </c>
      <c r="AE26" s="1" t="s">
        <v>4</v>
      </c>
      <c r="AF26" s="1" t="s">
        <v>6</v>
      </c>
      <c r="AG26" s="1" t="s">
        <v>3</v>
      </c>
      <c r="AH26" s="1" t="s">
        <v>4</v>
      </c>
      <c r="AI26" s="1" t="s">
        <v>3</v>
      </c>
      <c r="AJ26" s="1" t="s">
        <v>1</v>
      </c>
      <c r="AK26" s="1" t="s">
        <v>3</v>
      </c>
      <c r="AL26" s="1" t="s">
        <v>1</v>
      </c>
      <c r="AM26" s="1" t="s">
        <v>3</v>
      </c>
      <c r="AN26" s="1" t="s">
        <v>1</v>
      </c>
      <c r="AO26" s="1" t="s">
        <v>1</v>
      </c>
      <c r="AP26" s="1" t="s">
        <v>4</v>
      </c>
      <c r="AQ26" s="1" t="s">
        <v>1</v>
      </c>
      <c r="AR26" s="1" t="s">
        <v>2</v>
      </c>
      <c r="AS26" s="1" t="s">
        <v>2</v>
      </c>
      <c r="AT26" s="1" t="s">
        <v>4</v>
      </c>
      <c r="AU26" s="1" t="s">
        <v>6</v>
      </c>
      <c r="AV26" s="1" t="s">
        <v>2</v>
      </c>
      <c r="AW26" s="1" t="s">
        <v>4</v>
      </c>
      <c r="AX26" s="1" t="s">
        <v>4</v>
      </c>
      <c r="AY26" s="1" t="s">
        <v>4</v>
      </c>
      <c r="AZ26" s="1" t="s">
        <v>1</v>
      </c>
      <c r="BA26" s="1" t="s">
        <v>3</v>
      </c>
      <c r="BB26" s="1" t="s">
        <v>4</v>
      </c>
      <c r="BC26" s="1" t="s">
        <v>2</v>
      </c>
      <c r="BD26" s="1" t="s">
        <v>2</v>
      </c>
      <c r="BE26" s="1" t="s">
        <v>3</v>
      </c>
      <c r="BF26" s="1" t="s">
        <v>3</v>
      </c>
      <c r="BG26" s="1" t="s">
        <v>4</v>
      </c>
    </row>
    <row r="27" spans="1:59" x14ac:dyDescent="0.2">
      <c r="A27">
        <v>24</v>
      </c>
      <c r="B27" t="s">
        <v>105</v>
      </c>
      <c r="C27" s="4">
        <v>1004749</v>
      </c>
      <c r="D27" t="s">
        <v>104</v>
      </c>
      <c r="E27">
        <v>43908</v>
      </c>
      <c r="G27" s="7" cm="1">
        <f t="array" ref="G27">SUMPRODUCT(--(J27:BG27=$J$1:$BG$1))</f>
        <v>13</v>
      </c>
      <c r="H27" s="16">
        <f t="shared" si="1"/>
        <v>-1.3657099454342432</v>
      </c>
      <c r="I27" s="10">
        <f t="shared" si="0"/>
        <v>0.26</v>
      </c>
      <c r="J27" s="1" t="s">
        <v>4</v>
      </c>
      <c r="K27" s="1" t="s">
        <v>3</v>
      </c>
      <c r="L27" s="1" t="s">
        <v>4</v>
      </c>
      <c r="M27" s="1" t="s">
        <v>2</v>
      </c>
      <c r="N27" s="1" t="s">
        <v>4</v>
      </c>
      <c r="O27" s="1" t="s">
        <v>1</v>
      </c>
      <c r="P27" s="1" t="s">
        <v>1</v>
      </c>
      <c r="Q27" s="1" t="s">
        <v>2</v>
      </c>
      <c r="R27" s="1" t="s">
        <v>1</v>
      </c>
      <c r="S27" s="1" t="s">
        <v>2</v>
      </c>
      <c r="T27" s="1" t="s">
        <v>3</v>
      </c>
      <c r="U27" s="1" t="s">
        <v>4</v>
      </c>
      <c r="V27" s="1" t="s">
        <v>4</v>
      </c>
      <c r="W27" s="1" t="s">
        <v>1</v>
      </c>
      <c r="X27" s="1" t="s">
        <v>4</v>
      </c>
      <c r="Y27" s="1" t="s">
        <v>2</v>
      </c>
      <c r="Z27" s="1" t="s">
        <v>3</v>
      </c>
      <c r="AA27" s="1" t="s">
        <v>4</v>
      </c>
      <c r="AB27" s="1" t="s">
        <v>3</v>
      </c>
      <c r="AC27" s="1" t="s">
        <v>1</v>
      </c>
      <c r="AD27" s="1" t="s">
        <v>4</v>
      </c>
      <c r="AE27" s="1" t="s">
        <v>1</v>
      </c>
      <c r="AF27" s="1" t="s">
        <v>1</v>
      </c>
      <c r="AG27" s="1" t="s">
        <v>4</v>
      </c>
      <c r="AH27" s="1" t="s">
        <v>2</v>
      </c>
      <c r="AI27" s="1" t="s">
        <v>2</v>
      </c>
      <c r="AJ27" s="1" t="s">
        <v>3</v>
      </c>
      <c r="AK27" s="1" t="s">
        <v>1</v>
      </c>
      <c r="AL27" s="1" t="s">
        <v>3</v>
      </c>
      <c r="AM27" s="1" t="s">
        <v>3</v>
      </c>
      <c r="AN27" s="1" t="s">
        <v>1</v>
      </c>
      <c r="AO27" s="1" t="s">
        <v>4</v>
      </c>
      <c r="AP27" s="1" t="s">
        <v>3</v>
      </c>
      <c r="AQ27" s="1" t="s">
        <v>2</v>
      </c>
      <c r="AR27" s="1" t="s">
        <v>4</v>
      </c>
      <c r="AS27" s="1" t="s">
        <v>4</v>
      </c>
      <c r="AT27" s="1" t="s">
        <v>2</v>
      </c>
      <c r="AU27" s="1" t="s">
        <v>3</v>
      </c>
      <c r="AV27" s="1" t="s">
        <v>2</v>
      </c>
      <c r="AW27" s="1" t="s">
        <v>3</v>
      </c>
      <c r="AX27" s="1" t="s">
        <v>4</v>
      </c>
      <c r="AY27" s="1" t="s">
        <v>3</v>
      </c>
      <c r="AZ27" s="1" t="s">
        <v>4</v>
      </c>
      <c r="BA27" s="1" t="s">
        <v>4</v>
      </c>
      <c r="BB27" s="1" t="s">
        <v>4</v>
      </c>
      <c r="BC27" s="1" t="s">
        <v>3</v>
      </c>
      <c r="BD27" s="1" t="s">
        <v>3</v>
      </c>
      <c r="BE27" s="1" t="s">
        <v>2</v>
      </c>
      <c r="BF27" s="1" t="s">
        <v>3</v>
      </c>
      <c r="BG27" s="1" t="s">
        <v>2</v>
      </c>
    </row>
    <row r="28" spans="1:59" x14ac:dyDescent="0.2">
      <c r="A28">
        <v>25</v>
      </c>
      <c r="B28" t="s">
        <v>115</v>
      </c>
      <c r="C28" s="4">
        <v>1012191</v>
      </c>
      <c r="D28" t="s">
        <v>114</v>
      </c>
      <c r="E28">
        <v>43911</v>
      </c>
      <c r="G28" s="7" cm="1">
        <f t="array" ref="G28">SUMPRODUCT(--(J28:BG28=$J$1:$BG$1))</f>
        <v>17</v>
      </c>
      <c r="H28" s="16">
        <f t="shared" si="1"/>
        <v>-0.75335622358762089</v>
      </c>
      <c r="I28" s="10">
        <f t="shared" si="0"/>
        <v>0.34</v>
      </c>
      <c r="J28" s="1" t="s">
        <v>1</v>
      </c>
      <c r="K28" s="1" t="s">
        <v>1</v>
      </c>
      <c r="L28" s="1" t="s">
        <v>1</v>
      </c>
      <c r="M28" s="1" t="s">
        <v>2</v>
      </c>
      <c r="N28" s="1" t="s">
        <v>3</v>
      </c>
      <c r="O28" s="1" t="s">
        <v>4</v>
      </c>
      <c r="P28" s="1" t="s">
        <v>3</v>
      </c>
      <c r="Q28" s="1" t="s">
        <v>4</v>
      </c>
      <c r="R28" s="1" t="s">
        <v>2</v>
      </c>
      <c r="S28" s="1" t="s">
        <v>3</v>
      </c>
      <c r="T28" s="1" t="s">
        <v>4</v>
      </c>
      <c r="U28" s="1" t="s">
        <v>4</v>
      </c>
      <c r="V28" s="1" t="s">
        <v>2</v>
      </c>
      <c r="W28" s="1" t="s">
        <v>1</v>
      </c>
      <c r="X28" s="1" t="s">
        <v>4</v>
      </c>
      <c r="Y28" s="1" t="s">
        <v>3</v>
      </c>
      <c r="Z28" s="1" t="s">
        <v>1</v>
      </c>
      <c r="AA28" s="1" t="s">
        <v>1</v>
      </c>
      <c r="AB28" s="1" t="s">
        <v>3</v>
      </c>
      <c r="AC28" s="1" t="s">
        <v>2</v>
      </c>
      <c r="AD28" s="1" t="s">
        <v>4</v>
      </c>
      <c r="AE28" s="1" t="s">
        <v>1</v>
      </c>
      <c r="AF28" s="1" t="s">
        <v>4</v>
      </c>
      <c r="AG28" s="1" t="s">
        <v>2</v>
      </c>
      <c r="AH28" s="1" t="s">
        <v>4</v>
      </c>
      <c r="AI28" s="1" t="s">
        <v>3</v>
      </c>
      <c r="AJ28" s="1" t="s">
        <v>2</v>
      </c>
      <c r="AK28" s="1" t="s">
        <v>1</v>
      </c>
      <c r="AL28" s="1" t="s">
        <v>1</v>
      </c>
      <c r="AM28" s="1" t="s">
        <v>3</v>
      </c>
      <c r="AN28" s="1" t="s">
        <v>4</v>
      </c>
      <c r="AO28" s="1" t="s">
        <v>2</v>
      </c>
      <c r="AP28" s="1" t="s">
        <v>2</v>
      </c>
      <c r="AQ28" s="1" t="s">
        <v>4</v>
      </c>
      <c r="AR28" s="1" t="s">
        <v>1</v>
      </c>
      <c r="AS28" s="1" t="s">
        <v>3</v>
      </c>
      <c r="AT28" s="1" t="s">
        <v>2</v>
      </c>
      <c r="AU28" s="1" t="s">
        <v>4</v>
      </c>
      <c r="AV28" s="1" t="s">
        <v>4</v>
      </c>
      <c r="AW28" s="1" t="s">
        <v>2</v>
      </c>
      <c r="AX28" s="1" t="s">
        <v>4</v>
      </c>
      <c r="AY28" s="1" t="s">
        <v>3</v>
      </c>
      <c r="AZ28" s="1" t="s">
        <v>3</v>
      </c>
      <c r="BA28" s="1" t="s">
        <v>4</v>
      </c>
      <c r="BB28" s="1" t="s">
        <v>1</v>
      </c>
      <c r="BC28" s="1" t="s">
        <v>1</v>
      </c>
      <c r="BD28" s="1" t="s">
        <v>2</v>
      </c>
      <c r="BE28" s="1" t="s">
        <v>3</v>
      </c>
      <c r="BF28" s="1" t="s">
        <v>3</v>
      </c>
      <c r="BG28" s="1" t="s">
        <v>2</v>
      </c>
    </row>
    <row r="29" spans="1:59" x14ac:dyDescent="0.2">
      <c r="A29">
        <v>26</v>
      </c>
      <c r="B29" t="s">
        <v>111</v>
      </c>
      <c r="C29" s="4">
        <v>1015028</v>
      </c>
      <c r="D29" t="s">
        <v>110</v>
      </c>
      <c r="E29">
        <v>43908</v>
      </c>
      <c r="G29" s="7" cm="1">
        <f t="array" ref="G29">SUMPRODUCT(--(J29:BG29=$J$1:$BG$1))</f>
        <v>20</v>
      </c>
      <c r="H29" s="16">
        <f t="shared" si="1"/>
        <v>-0.29409093220265431</v>
      </c>
      <c r="I29" s="10">
        <f t="shared" si="0"/>
        <v>0.4</v>
      </c>
      <c r="J29" s="1" t="s">
        <v>1</v>
      </c>
      <c r="K29" s="1" t="s">
        <v>4</v>
      </c>
      <c r="L29" s="1" t="s">
        <v>3</v>
      </c>
      <c r="M29" s="1" t="s">
        <v>3</v>
      </c>
      <c r="N29" s="1" t="s">
        <v>2</v>
      </c>
      <c r="O29" s="1" t="s">
        <v>4</v>
      </c>
      <c r="P29" s="1" t="s">
        <v>1</v>
      </c>
      <c r="Q29" s="1" t="s">
        <v>4</v>
      </c>
      <c r="R29" s="1" t="s">
        <v>2</v>
      </c>
      <c r="S29" s="1" t="s">
        <v>4</v>
      </c>
      <c r="T29" s="1" t="s">
        <v>3</v>
      </c>
      <c r="U29" s="1" t="s">
        <v>4</v>
      </c>
      <c r="V29" s="1" t="s">
        <v>4</v>
      </c>
      <c r="W29" s="1" t="s">
        <v>4</v>
      </c>
      <c r="X29" s="1" t="s">
        <v>1</v>
      </c>
      <c r="Y29" s="1" t="s">
        <v>2</v>
      </c>
      <c r="Z29" s="1" t="s">
        <v>3</v>
      </c>
      <c r="AA29" s="1" t="s">
        <v>4</v>
      </c>
      <c r="AB29" s="1" t="s">
        <v>2</v>
      </c>
      <c r="AC29" s="1" t="s">
        <v>2</v>
      </c>
      <c r="AD29" s="1" t="s">
        <v>4</v>
      </c>
      <c r="AE29" s="1" t="s">
        <v>4</v>
      </c>
      <c r="AF29" s="1" t="s">
        <v>2</v>
      </c>
      <c r="AG29" s="1" t="s">
        <v>2</v>
      </c>
      <c r="AH29" s="1" t="s">
        <v>2</v>
      </c>
      <c r="AI29" s="1" t="s">
        <v>2</v>
      </c>
      <c r="AJ29" s="1" t="s">
        <v>4</v>
      </c>
      <c r="AK29" s="1" t="s">
        <v>4</v>
      </c>
      <c r="AL29" s="1" t="s">
        <v>2</v>
      </c>
      <c r="AM29" s="1" t="s">
        <v>4</v>
      </c>
      <c r="AN29" s="1" t="s">
        <v>4</v>
      </c>
      <c r="AO29" s="1" t="s">
        <v>1</v>
      </c>
      <c r="AP29" s="1" t="s">
        <v>3</v>
      </c>
      <c r="AQ29" s="1" t="s">
        <v>1</v>
      </c>
      <c r="AR29" s="1" t="s">
        <v>4</v>
      </c>
      <c r="AS29" s="1" t="s">
        <v>4</v>
      </c>
      <c r="AT29" s="1" t="s">
        <v>4</v>
      </c>
      <c r="AU29" s="1" t="s">
        <v>3</v>
      </c>
      <c r="AV29" s="1" t="s">
        <v>1</v>
      </c>
      <c r="AW29" s="1" t="s">
        <v>1</v>
      </c>
      <c r="AX29" s="1" t="s">
        <v>3</v>
      </c>
      <c r="AY29" s="1" t="s">
        <v>3</v>
      </c>
      <c r="AZ29" s="1" t="s">
        <v>1</v>
      </c>
      <c r="BA29" s="1" t="s">
        <v>4</v>
      </c>
      <c r="BB29" s="1" t="s">
        <v>4</v>
      </c>
      <c r="BC29" s="1" t="s">
        <v>4</v>
      </c>
      <c r="BD29" s="1" t="s">
        <v>3</v>
      </c>
      <c r="BE29" s="1" t="s">
        <v>4</v>
      </c>
      <c r="BF29" s="1" t="s">
        <v>2</v>
      </c>
      <c r="BG29" s="1" t="s">
        <v>3</v>
      </c>
    </row>
    <row r="30" spans="1:59" x14ac:dyDescent="0.2">
      <c r="A30">
        <v>27</v>
      </c>
      <c r="B30" t="s">
        <v>59</v>
      </c>
      <c r="C30" s="4">
        <v>1024452</v>
      </c>
      <c r="D30" t="s">
        <v>58</v>
      </c>
      <c r="E30">
        <v>43911</v>
      </c>
      <c r="G30" s="7" cm="1">
        <f t="array" ref="G30">SUMPRODUCT(--(J30:BG30=$J$1:$BG$1))</f>
        <v>16</v>
      </c>
      <c r="H30" s="16">
        <f t="shared" si="1"/>
        <v>-0.90644465404927643</v>
      </c>
      <c r="I30" s="10">
        <f t="shared" si="0"/>
        <v>0.32</v>
      </c>
      <c r="J30" s="1" t="s">
        <v>1</v>
      </c>
      <c r="K30" s="1" t="s">
        <v>4</v>
      </c>
      <c r="L30" s="1" t="s">
        <v>4</v>
      </c>
      <c r="M30" s="1" t="s">
        <v>2</v>
      </c>
      <c r="N30" s="1" t="s">
        <v>4</v>
      </c>
      <c r="O30" s="1" t="s">
        <v>3</v>
      </c>
      <c r="P30" s="1" t="s">
        <v>1</v>
      </c>
      <c r="Q30" s="1" t="s">
        <v>4</v>
      </c>
      <c r="R30" s="1" t="s">
        <v>2</v>
      </c>
      <c r="S30" s="1" t="s">
        <v>2</v>
      </c>
      <c r="T30" s="1" t="s">
        <v>3</v>
      </c>
      <c r="U30" s="1" t="s">
        <v>4</v>
      </c>
      <c r="V30" s="1" t="s">
        <v>4</v>
      </c>
      <c r="W30" s="1" t="s">
        <v>1</v>
      </c>
      <c r="X30" s="1" t="s">
        <v>4</v>
      </c>
      <c r="Y30" s="1" t="s">
        <v>2</v>
      </c>
      <c r="Z30" s="1" t="s">
        <v>1</v>
      </c>
      <c r="AA30" s="1" t="s">
        <v>3</v>
      </c>
      <c r="AB30" s="1" t="s">
        <v>4</v>
      </c>
      <c r="AC30" s="1" t="s">
        <v>3</v>
      </c>
      <c r="AD30" s="1" t="s">
        <v>2</v>
      </c>
      <c r="AE30" s="1" t="s">
        <v>2</v>
      </c>
      <c r="AF30" s="1" t="s">
        <v>1</v>
      </c>
      <c r="AG30" s="1" t="s">
        <v>4</v>
      </c>
      <c r="AH30" s="1" t="s">
        <v>1</v>
      </c>
      <c r="AI30" s="1" t="s">
        <v>2</v>
      </c>
      <c r="AJ30" s="1" t="s">
        <v>4</v>
      </c>
      <c r="AK30" s="1" t="s">
        <v>3</v>
      </c>
      <c r="AL30" s="1" t="s">
        <v>4</v>
      </c>
      <c r="AM30" s="1" t="s">
        <v>2</v>
      </c>
      <c r="AN30" s="1" t="s">
        <v>3</v>
      </c>
      <c r="AO30" s="1" t="s">
        <v>4</v>
      </c>
      <c r="AP30" s="1" t="s">
        <v>4</v>
      </c>
      <c r="AQ30" s="1" t="s">
        <v>3</v>
      </c>
      <c r="AR30" s="1" t="s">
        <v>1</v>
      </c>
      <c r="AS30" s="1" t="s">
        <v>2</v>
      </c>
      <c r="AT30" s="1" t="s">
        <v>2</v>
      </c>
      <c r="AU30" s="1" t="s">
        <v>1</v>
      </c>
      <c r="AV30" s="1" t="s">
        <v>4</v>
      </c>
      <c r="AW30" s="1" t="s">
        <v>3</v>
      </c>
      <c r="AX30" s="1" t="s">
        <v>4</v>
      </c>
      <c r="AY30" s="1" t="s">
        <v>2</v>
      </c>
      <c r="AZ30" s="1" t="s">
        <v>3</v>
      </c>
      <c r="BA30" s="1" t="s">
        <v>4</v>
      </c>
      <c r="BB30" s="1" t="s">
        <v>3</v>
      </c>
      <c r="BC30" s="1" t="s">
        <v>1</v>
      </c>
      <c r="BD30" s="1" t="s">
        <v>2</v>
      </c>
      <c r="BE30" s="1" t="s">
        <v>3</v>
      </c>
      <c r="BF30" s="1" t="s">
        <v>3</v>
      </c>
      <c r="BG30" s="1" t="s">
        <v>2</v>
      </c>
    </row>
    <row r="31" spans="1:59" x14ac:dyDescent="0.2">
      <c r="A31">
        <v>28</v>
      </c>
      <c r="B31" t="s">
        <v>125</v>
      </c>
      <c r="C31" s="4">
        <v>1025102</v>
      </c>
      <c r="D31" t="s">
        <v>124</v>
      </c>
      <c r="E31">
        <v>43911</v>
      </c>
      <c r="G31" s="7" cm="1">
        <f t="array" ref="G31">SUMPRODUCT(--(J31:BG31=$J$1:$BG$1))</f>
        <v>27</v>
      </c>
      <c r="H31" s="16" t="str">
        <f t="shared" si="1"/>
        <v>+0.8</v>
      </c>
      <c r="I31" s="10">
        <f t="shared" si="0"/>
        <v>0.54</v>
      </c>
      <c r="J31" s="1" t="s">
        <v>1</v>
      </c>
      <c r="K31" s="1" t="s">
        <v>1</v>
      </c>
      <c r="L31" s="1" t="s">
        <v>1</v>
      </c>
      <c r="M31" s="1" t="s">
        <v>4</v>
      </c>
      <c r="N31" s="1" t="s">
        <v>4</v>
      </c>
      <c r="O31" s="1" t="s">
        <v>3</v>
      </c>
      <c r="P31" s="1" t="s">
        <v>2</v>
      </c>
      <c r="Q31" s="1" t="s">
        <v>4</v>
      </c>
      <c r="R31" s="1" t="s">
        <v>2</v>
      </c>
      <c r="S31" s="1" t="s">
        <v>4</v>
      </c>
      <c r="T31" s="1" t="s">
        <v>3</v>
      </c>
      <c r="U31" s="1" t="s">
        <v>4</v>
      </c>
      <c r="V31" s="1" t="s">
        <v>1</v>
      </c>
      <c r="W31" s="1" t="s">
        <v>1</v>
      </c>
      <c r="X31" s="1" t="s">
        <v>3</v>
      </c>
      <c r="Y31" s="1" t="s">
        <v>1</v>
      </c>
      <c r="Z31" s="1" t="s">
        <v>3</v>
      </c>
      <c r="AA31" s="1" t="s">
        <v>1</v>
      </c>
      <c r="AB31" s="1" t="s">
        <v>2</v>
      </c>
      <c r="AC31" s="1" t="s">
        <v>4</v>
      </c>
      <c r="AD31" s="1" t="s">
        <v>4</v>
      </c>
      <c r="AE31" s="1" t="s">
        <v>1</v>
      </c>
      <c r="AF31" s="1" t="s">
        <v>2</v>
      </c>
      <c r="AG31" s="1" t="s">
        <v>2</v>
      </c>
      <c r="AH31" s="1" t="s">
        <v>4</v>
      </c>
      <c r="AI31" s="1" t="s">
        <v>2</v>
      </c>
      <c r="AJ31" s="1" t="s">
        <v>3</v>
      </c>
      <c r="AK31" s="1" t="s">
        <v>1</v>
      </c>
      <c r="AL31" s="1" t="s">
        <v>2</v>
      </c>
      <c r="AM31" s="1" t="s">
        <v>4</v>
      </c>
      <c r="AN31" s="1" t="s">
        <v>3</v>
      </c>
      <c r="AO31" s="1" t="s">
        <v>4</v>
      </c>
      <c r="AP31" s="1" t="s">
        <v>3</v>
      </c>
      <c r="AQ31" s="1" t="s">
        <v>3</v>
      </c>
      <c r="AR31" s="1" t="s">
        <v>1</v>
      </c>
      <c r="AS31" s="1" t="s">
        <v>2</v>
      </c>
      <c r="AT31" s="1" t="s">
        <v>2</v>
      </c>
      <c r="AU31" s="1" t="s">
        <v>3</v>
      </c>
      <c r="AV31" s="1" t="s">
        <v>2</v>
      </c>
      <c r="AW31" s="1" t="s">
        <v>2</v>
      </c>
      <c r="AX31" s="1" t="s">
        <v>3</v>
      </c>
      <c r="AY31" s="1" t="s">
        <v>2</v>
      </c>
      <c r="AZ31" s="1" t="s">
        <v>3</v>
      </c>
      <c r="BA31" s="1" t="s">
        <v>2</v>
      </c>
      <c r="BB31" s="1" t="s">
        <v>4</v>
      </c>
      <c r="BC31" s="1" t="s">
        <v>1</v>
      </c>
      <c r="BD31" s="1" t="s">
        <v>3</v>
      </c>
      <c r="BE31" s="1" t="s">
        <v>4</v>
      </c>
      <c r="BF31" s="1" t="s">
        <v>2</v>
      </c>
      <c r="BG31" s="1" t="s">
        <v>3</v>
      </c>
    </row>
    <row r="32" spans="1:59" x14ac:dyDescent="0.2">
      <c r="A32">
        <v>29</v>
      </c>
      <c r="B32" t="s">
        <v>121</v>
      </c>
      <c r="C32" s="4">
        <v>1025104</v>
      </c>
      <c r="D32" t="s">
        <v>120</v>
      </c>
      <c r="E32">
        <v>43908</v>
      </c>
      <c r="G32" s="7" cm="1">
        <f t="array" ref="G32">SUMPRODUCT(--(J32:BG32=$J$1:$BG$1))</f>
        <v>13</v>
      </c>
      <c r="H32" s="16">
        <f t="shared" si="1"/>
        <v>-1.3657099454342432</v>
      </c>
      <c r="I32" s="10">
        <f t="shared" si="0"/>
        <v>0.26</v>
      </c>
      <c r="J32" s="1" t="s">
        <v>1</v>
      </c>
      <c r="K32" s="1" t="s">
        <v>2</v>
      </c>
      <c r="L32" s="1" t="s">
        <v>1</v>
      </c>
      <c r="M32" s="1" t="s">
        <v>3</v>
      </c>
      <c r="N32" s="1" t="s">
        <v>4</v>
      </c>
      <c r="O32" s="1" t="s">
        <v>1</v>
      </c>
      <c r="P32" s="1" t="s">
        <v>1</v>
      </c>
      <c r="Q32" s="1" t="s">
        <v>4</v>
      </c>
      <c r="R32" s="1" t="s">
        <v>1</v>
      </c>
      <c r="S32" s="1" t="s">
        <v>2</v>
      </c>
      <c r="T32" s="1" t="s">
        <v>3</v>
      </c>
      <c r="U32" s="1" t="s">
        <v>4</v>
      </c>
      <c r="V32" s="1" t="s">
        <v>2</v>
      </c>
      <c r="W32" s="1" t="s">
        <v>3</v>
      </c>
      <c r="X32" s="1" t="s">
        <v>4</v>
      </c>
      <c r="Y32" s="1" t="s">
        <v>1</v>
      </c>
      <c r="Z32" s="1" t="s">
        <v>3</v>
      </c>
      <c r="AA32" s="1" t="s">
        <v>4</v>
      </c>
      <c r="AB32" s="1" t="s">
        <v>2</v>
      </c>
      <c r="AC32" s="1" t="s">
        <v>3</v>
      </c>
      <c r="AD32" s="1" t="s">
        <v>1</v>
      </c>
      <c r="AE32" s="1" t="s">
        <v>2</v>
      </c>
      <c r="AF32" s="1" t="s">
        <v>1</v>
      </c>
      <c r="AG32" s="1" t="s">
        <v>2</v>
      </c>
      <c r="AH32" s="1" t="s">
        <v>4</v>
      </c>
      <c r="AI32" s="1" t="s">
        <v>2</v>
      </c>
      <c r="AJ32" s="1" t="s">
        <v>3</v>
      </c>
      <c r="AK32" s="1" t="s">
        <v>3</v>
      </c>
      <c r="AL32" s="1" t="s">
        <v>1</v>
      </c>
      <c r="AM32" s="1" t="s">
        <v>2</v>
      </c>
      <c r="AN32" s="1" t="s">
        <v>1</v>
      </c>
      <c r="AO32" s="1" t="s">
        <v>2</v>
      </c>
      <c r="AP32" s="1" t="s">
        <v>4</v>
      </c>
      <c r="AQ32" s="1" t="s">
        <v>1</v>
      </c>
      <c r="AR32" s="1" t="s">
        <v>4</v>
      </c>
      <c r="AS32" s="1" t="s">
        <v>1</v>
      </c>
      <c r="AT32" s="1" t="s">
        <v>3</v>
      </c>
      <c r="AU32" s="1" t="s">
        <v>1</v>
      </c>
      <c r="AV32" s="1" t="s">
        <v>2</v>
      </c>
      <c r="AW32" s="1" t="s">
        <v>4</v>
      </c>
      <c r="AX32" s="1" t="s">
        <v>3</v>
      </c>
      <c r="AY32" s="1" t="s">
        <v>2</v>
      </c>
      <c r="AZ32" s="1" t="s">
        <v>4</v>
      </c>
      <c r="BA32" s="1" t="s">
        <v>1</v>
      </c>
      <c r="BB32" s="1" t="s">
        <v>4</v>
      </c>
      <c r="BC32" s="1" t="s">
        <v>2</v>
      </c>
      <c r="BD32" s="1" t="s">
        <v>2</v>
      </c>
      <c r="BE32" s="1" t="s">
        <v>1</v>
      </c>
      <c r="BF32" s="1" t="s">
        <v>2</v>
      </c>
      <c r="BG32" s="1" t="s">
        <v>2</v>
      </c>
    </row>
    <row r="33" spans="1:59" x14ac:dyDescent="0.2">
      <c r="A33">
        <v>30</v>
      </c>
      <c r="B33" t="s">
        <v>85</v>
      </c>
      <c r="C33" s="4">
        <v>1029814</v>
      </c>
      <c r="D33" t="s">
        <v>84</v>
      </c>
      <c r="E33">
        <v>43908</v>
      </c>
      <c r="G33" s="7" cm="1">
        <f t="array" ref="G33">SUMPRODUCT(--(J33:BG33=$J$1:$BG$1))</f>
        <v>26</v>
      </c>
      <c r="H33" s="16" t="str">
        <f t="shared" si="1"/>
        <v>+0.6</v>
      </c>
      <c r="I33" s="10">
        <f t="shared" si="0"/>
        <v>0.52</v>
      </c>
      <c r="J33" s="1" t="s">
        <v>3</v>
      </c>
      <c r="K33" s="1" t="s">
        <v>4</v>
      </c>
      <c r="L33" s="1" t="s">
        <v>3</v>
      </c>
      <c r="M33" s="1" t="s">
        <v>1</v>
      </c>
      <c r="N33" s="1" t="s">
        <v>4</v>
      </c>
      <c r="O33" s="1" t="s">
        <v>2</v>
      </c>
      <c r="P33" s="1" t="s">
        <v>2</v>
      </c>
      <c r="Q33" s="1" t="s">
        <v>4</v>
      </c>
      <c r="R33" s="1" t="s">
        <v>2</v>
      </c>
      <c r="S33" s="1" t="s">
        <v>4</v>
      </c>
      <c r="T33" s="1" t="s">
        <v>2</v>
      </c>
      <c r="U33" s="1" t="s">
        <v>3</v>
      </c>
      <c r="V33" s="1" t="s">
        <v>1</v>
      </c>
      <c r="W33" s="1" t="s">
        <v>2</v>
      </c>
      <c r="X33" s="1" t="s">
        <v>4</v>
      </c>
      <c r="Y33" s="1" t="s">
        <v>1</v>
      </c>
      <c r="Z33" s="1" t="s">
        <v>3</v>
      </c>
      <c r="AA33" s="1" t="s">
        <v>3</v>
      </c>
      <c r="AB33" s="1" t="s">
        <v>2</v>
      </c>
      <c r="AC33" s="1" t="s">
        <v>2</v>
      </c>
      <c r="AD33" s="1" t="s">
        <v>4</v>
      </c>
      <c r="AE33" s="1" t="s">
        <v>1</v>
      </c>
      <c r="AF33" s="1" t="s">
        <v>1</v>
      </c>
      <c r="AG33" s="1" t="s">
        <v>3</v>
      </c>
      <c r="AH33" s="1" t="s">
        <v>2</v>
      </c>
      <c r="AI33" s="1" t="s">
        <v>3</v>
      </c>
      <c r="AJ33" s="1" t="s">
        <v>3</v>
      </c>
      <c r="AK33" s="1" t="s">
        <v>3</v>
      </c>
      <c r="AL33" s="1" t="s">
        <v>4</v>
      </c>
      <c r="AM33" s="1" t="s">
        <v>4</v>
      </c>
      <c r="AN33" s="1" t="s">
        <v>4</v>
      </c>
      <c r="AO33" s="1" t="s">
        <v>3</v>
      </c>
      <c r="AP33" s="1" t="s">
        <v>3</v>
      </c>
      <c r="AQ33" s="1" t="s">
        <v>2</v>
      </c>
      <c r="AR33" s="1" t="s">
        <v>1</v>
      </c>
      <c r="AS33" s="1" t="s">
        <v>2</v>
      </c>
      <c r="AT33" s="1" t="s">
        <v>3</v>
      </c>
      <c r="AU33" s="1" t="s">
        <v>4</v>
      </c>
      <c r="AV33" s="1" t="s">
        <v>4</v>
      </c>
      <c r="AW33" s="1" t="s">
        <v>3</v>
      </c>
      <c r="AX33" s="1" t="s">
        <v>4</v>
      </c>
      <c r="AY33" s="1" t="s">
        <v>2</v>
      </c>
      <c r="AZ33" s="1" t="s">
        <v>4</v>
      </c>
      <c r="BA33" s="1" t="s">
        <v>1</v>
      </c>
      <c r="BB33" s="1" t="s">
        <v>4</v>
      </c>
      <c r="BC33" s="1" t="s">
        <v>3</v>
      </c>
      <c r="BD33" s="1" t="s">
        <v>4</v>
      </c>
      <c r="BE33" s="1" t="s">
        <v>3</v>
      </c>
      <c r="BF33" s="1" t="s">
        <v>2</v>
      </c>
      <c r="BG33" s="1" t="s">
        <v>3</v>
      </c>
    </row>
    <row r="34" spans="1:59" x14ac:dyDescent="0.2">
      <c r="A34">
        <v>31</v>
      </c>
      <c r="B34" t="s">
        <v>93</v>
      </c>
      <c r="C34" s="4">
        <v>1033639</v>
      </c>
      <c r="D34" t="s">
        <v>92</v>
      </c>
      <c r="E34">
        <v>43908</v>
      </c>
      <c r="G34" s="7" cm="1">
        <f t="array" ref="G34">SUMPRODUCT(--(J34:BG34=$J$1:$BG$1))</f>
        <v>31</v>
      </c>
      <c r="H34" s="16" t="str">
        <f t="shared" si="1"/>
        <v>+1.4</v>
      </c>
      <c r="I34" s="10">
        <f t="shared" si="0"/>
        <v>0.62</v>
      </c>
      <c r="J34" s="1" t="s">
        <v>1</v>
      </c>
      <c r="K34" s="1" t="s">
        <v>4</v>
      </c>
      <c r="L34" s="1" t="s">
        <v>3</v>
      </c>
      <c r="M34" s="1" t="s">
        <v>3</v>
      </c>
      <c r="N34" s="1" t="s">
        <v>2</v>
      </c>
      <c r="O34" s="1" t="s">
        <v>4</v>
      </c>
      <c r="P34" s="1" t="s">
        <v>2</v>
      </c>
      <c r="Q34" s="1" t="s">
        <v>4</v>
      </c>
      <c r="R34" s="1" t="s">
        <v>2</v>
      </c>
      <c r="S34" s="1" t="s">
        <v>4</v>
      </c>
      <c r="T34" s="1" t="s">
        <v>2</v>
      </c>
      <c r="U34" s="1" t="s">
        <v>3</v>
      </c>
      <c r="V34" s="1" t="s">
        <v>1</v>
      </c>
      <c r="W34" s="1" t="s">
        <v>2</v>
      </c>
      <c r="X34" s="1" t="s">
        <v>3</v>
      </c>
      <c r="Y34" s="1" t="s">
        <v>2</v>
      </c>
      <c r="Z34" s="1" t="s">
        <v>3</v>
      </c>
      <c r="AA34" s="1" t="s">
        <v>1</v>
      </c>
      <c r="AB34" s="1" t="s">
        <v>2</v>
      </c>
      <c r="AC34" s="1" t="s">
        <v>2</v>
      </c>
      <c r="AD34" s="1" t="s">
        <v>4</v>
      </c>
      <c r="AE34" s="1" t="s">
        <v>1</v>
      </c>
      <c r="AF34" s="1" t="s">
        <v>2</v>
      </c>
      <c r="AG34" s="1" t="s">
        <v>1</v>
      </c>
      <c r="AH34" s="1" t="s">
        <v>4</v>
      </c>
      <c r="AI34" s="1" t="s">
        <v>3</v>
      </c>
      <c r="AJ34" s="1" t="s">
        <v>3</v>
      </c>
      <c r="AK34" s="1" t="s">
        <v>4</v>
      </c>
      <c r="AL34" s="1" t="s">
        <v>2</v>
      </c>
      <c r="AM34" s="1" t="s">
        <v>4</v>
      </c>
      <c r="AN34" s="1" t="s">
        <v>2</v>
      </c>
      <c r="AO34" s="1" t="s">
        <v>4</v>
      </c>
      <c r="AP34" s="1" t="s">
        <v>3</v>
      </c>
      <c r="AQ34" s="1" t="s">
        <v>2</v>
      </c>
      <c r="AR34" s="1" t="s">
        <v>1</v>
      </c>
      <c r="AS34" s="1" t="s">
        <v>2</v>
      </c>
      <c r="AT34" s="1" t="s">
        <v>2</v>
      </c>
      <c r="AU34" s="1" t="s">
        <v>1</v>
      </c>
      <c r="AV34" s="1" t="s">
        <v>4</v>
      </c>
      <c r="AW34" s="1" t="s">
        <v>1</v>
      </c>
      <c r="AX34" s="1" t="s">
        <v>1</v>
      </c>
      <c r="AY34" s="1" t="s">
        <v>3</v>
      </c>
      <c r="AZ34" s="1" t="s">
        <v>3</v>
      </c>
      <c r="BA34" s="1" t="s">
        <v>2</v>
      </c>
      <c r="BB34" s="1" t="s">
        <v>1</v>
      </c>
      <c r="BC34" s="1" t="s">
        <v>3</v>
      </c>
      <c r="BD34" s="1" t="s">
        <v>2</v>
      </c>
      <c r="BE34" s="1" t="s">
        <v>3</v>
      </c>
      <c r="BF34" s="1" t="s">
        <v>3</v>
      </c>
      <c r="BG34" s="1" t="s">
        <v>4</v>
      </c>
    </row>
    <row r="35" spans="1:59" x14ac:dyDescent="0.2">
      <c r="A35">
        <v>32</v>
      </c>
      <c r="B35" t="s">
        <v>61</v>
      </c>
      <c r="C35" s="4">
        <v>1035787</v>
      </c>
      <c r="D35" t="s">
        <v>60</v>
      </c>
      <c r="E35">
        <v>43911</v>
      </c>
      <c r="G35" s="7" cm="1">
        <f t="array" ref="G35">SUMPRODUCT(--(J35:BG35=$J$1:$BG$1))</f>
        <v>34</v>
      </c>
      <c r="H35" s="16" t="str">
        <f t="shared" si="1"/>
        <v>+1.8</v>
      </c>
      <c r="I35" s="10">
        <f t="shared" si="0"/>
        <v>0.68</v>
      </c>
      <c r="J35" s="1" t="s">
        <v>1</v>
      </c>
      <c r="K35" s="1" t="s">
        <v>4</v>
      </c>
      <c r="L35" s="1" t="s">
        <v>3</v>
      </c>
      <c r="M35" s="1" t="s">
        <v>1</v>
      </c>
      <c r="N35" s="1" t="s">
        <v>1</v>
      </c>
      <c r="O35" s="1" t="s">
        <v>2</v>
      </c>
      <c r="P35" s="1" t="s">
        <v>2</v>
      </c>
      <c r="Q35" s="1" t="s">
        <v>4</v>
      </c>
      <c r="R35" s="1" t="s">
        <v>2</v>
      </c>
      <c r="S35" s="1" t="s">
        <v>4</v>
      </c>
      <c r="T35" s="1" t="s">
        <v>2</v>
      </c>
      <c r="U35" s="1" t="s">
        <v>2</v>
      </c>
      <c r="V35" s="1" t="s">
        <v>1</v>
      </c>
      <c r="W35" s="1" t="s">
        <v>3</v>
      </c>
      <c r="X35" s="1" t="s">
        <v>3</v>
      </c>
      <c r="Y35" s="1" t="s">
        <v>2</v>
      </c>
      <c r="Z35" s="1" t="s">
        <v>3</v>
      </c>
      <c r="AA35" s="1" t="s">
        <v>4</v>
      </c>
      <c r="AB35" s="1" t="s">
        <v>3</v>
      </c>
      <c r="AC35" s="1" t="s">
        <v>1</v>
      </c>
      <c r="AD35" s="1" t="s">
        <v>4</v>
      </c>
      <c r="AE35" s="1" t="s">
        <v>4</v>
      </c>
      <c r="AF35" s="1" t="s">
        <v>2</v>
      </c>
      <c r="AG35" s="1" t="s">
        <v>1</v>
      </c>
      <c r="AH35" s="1" t="s">
        <v>4</v>
      </c>
      <c r="AI35" s="1" t="s">
        <v>3</v>
      </c>
      <c r="AJ35" s="1" t="s">
        <v>3</v>
      </c>
      <c r="AK35" s="1" t="s">
        <v>3</v>
      </c>
      <c r="AL35" s="1" t="s">
        <v>4</v>
      </c>
      <c r="AM35" s="1" t="s">
        <v>3</v>
      </c>
      <c r="AN35" s="1" t="s">
        <v>1</v>
      </c>
      <c r="AO35" s="1" t="s">
        <v>4</v>
      </c>
      <c r="AP35" s="1" t="s">
        <v>3</v>
      </c>
      <c r="AQ35" s="1" t="s">
        <v>2</v>
      </c>
      <c r="AR35" s="1" t="s">
        <v>1</v>
      </c>
      <c r="AS35" s="1" t="s">
        <v>2</v>
      </c>
      <c r="AT35" s="1" t="s">
        <v>3</v>
      </c>
      <c r="AU35" s="1" t="s">
        <v>1</v>
      </c>
      <c r="AV35" s="1" t="s">
        <v>4</v>
      </c>
      <c r="AW35" s="1" t="s">
        <v>1</v>
      </c>
      <c r="AX35" s="1" t="s">
        <v>4</v>
      </c>
      <c r="AY35" s="1" t="s">
        <v>2</v>
      </c>
      <c r="AZ35" s="1" t="s">
        <v>3</v>
      </c>
      <c r="BA35" s="1" t="s">
        <v>2</v>
      </c>
      <c r="BB35" s="1" t="s">
        <v>4</v>
      </c>
      <c r="BC35" s="1" t="s">
        <v>3</v>
      </c>
      <c r="BD35" s="1" t="s">
        <v>2</v>
      </c>
      <c r="BE35" s="1" t="s">
        <v>2</v>
      </c>
      <c r="BF35" s="1" t="s">
        <v>2</v>
      </c>
      <c r="BG35" s="1" t="s">
        <v>3</v>
      </c>
    </row>
    <row r="36" spans="1:59" x14ac:dyDescent="0.2">
      <c r="A36">
        <v>33</v>
      </c>
      <c r="B36" t="s">
        <v>103</v>
      </c>
      <c r="C36" s="4">
        <v>1039799</v>
      </c>
      <c r="D36" t="s">
        <v>102</v>
      </c>
      <c r="E36">
        <v>43908</v>
      </c>
      <c r="G36" s="7" cm="1">
        <f t="array" ref="G36">SUMPRODUCT(--(J36:BG36=$J$1:$BG$1))</f>
        <v>15</v>
      </c>
      <c r="H36" s="16">
        <f t="shared" si="1"/>
        <v>-1.0595330845109321</v>
      </c>
      <c r="I36" s="10">
        <f t="shared" si="0"/>
        <v>0.3</v>
      </c>
      <c r="J36" s="1" t="s">
        <v>1</v>
      </c>
      <c r="K36" s="1" t="s">
        <v>2</v>
      </c>
      <c r="L36" s="1" t="s">
        <v>1</v>
      </c>
      <c r="M36" s="1" t="s">
        <v>1</v>
      </c>
      <c r="N36" s="1" t="s">
        <v>3</v>
      </c>
      <c r="O36" s="1" t="s">
        <v>2</v>
      </c>
      <c r="P36" s="1" t="s">
        <v>2</v>
      </c>
      <c r="Q36" s="1" t="s">
        <v>4</v>
      </c>
      <c r="R36" s="1" t="s">
        <v>4</v>
      </c>
      <c r="S36" s="1" t="s">
        <v>2</v>
      </c>
      <c r="T36" s="1" t="s">
        <v>2</v>
      </c>
      <c r="U36" s="1" t="s">
        <v>3</v>
      </c>
      <c r="V36" s="1" t="s">
        <v>2</v>
      </c>
      <c r="W36" s="1" t="s">
        <v>1</v>
      </c>
      <c r="X36" s="1" t="s">
        <v>4</v>
      </c>
      <c r="Y36" s="1" t="s">
        <v>4</v>
      </c>
      <c r="Z36" s="1" t="s">
        <v>3</v>
      </c>
      <c r="AA36" s="1" t="s">
        <v>1</v>
      </c>
      <c r="AB36" s="1" t="s">
        <v>4</v>
      </c>
      <c r="AC36" s="1" t="s">
        <v>3</v>
      </c>
      <c r="AD36" s="1" t="s">
        <v>2</v>
      </c>
      <c r="AE36" s="1" t="s">
        <v>1</v>
      </c>
      <c r="AF36" s="1" t="s">
        <v>4</v>
      </c>
      <c r="AG36" s="1" t="s">
        <v>2</v>
      </c>
      <c r="AH36" s="1" t="s">
        <v>4</v>
      </c>
      <c r="AI36" s="1" t="s">
        <v>4</v>
      </c>
      <c r="AJ36" s="1" t="s">
        <v>4</v>
      </c>
      <c r="AK36" s="1" t="s">
        <v>1</v>
      </c>
      <c r="AL36" s="1" t="s">
        <v>1</v>
      </c>
      <c r="AM36" s="1" t="s">
        <v>3</v>
      </c>
      <c r="AN36" s="1" t="s">
        <v>4</v>
      </c>
      <c r="AO36" s="1" t="s">
        <v>3</v>
      </c>
      <c r="AP36" s="1" t="s">
        <v>4</v>
      </c>
      <c r="AQ36" s="1" t="s">
        <v>1</v>
      </c>
      <c r="AR36" s="1" t="s">
        <v>3</v>
      </c>
      <c r="AS36" s="1" t="s">
        <v>2</v>
      </c>
      <c r="AT36" s="1" t="s">
        <v>4</v>
      </c>
      <c r="AU36" s="1" t="s">
        <v>4</v>
      </c>
      <c r="AV36" s="1" t="s">
        <v>3</v>
      </c>
      <c r="AW36" s="1" t="s">
        <v>3</v>
      </c>
      <c r="AX36" s="1" t="s">
        <v>2</v>
      </c>
      <c r="AY36" s="1" t="s">
        <v>3</v>
      </c>
      <c r="AZ36" s="1" t="s">
        <v>3</v>
      </c>
      <c r="BA36" s="1" t="s">
        <v>4</v>
      </c>
      <c r="BB36" s="1" t="s">
        <v>3</v>
      </c>
      <c r="BC36" s="1" t="s">
        <v>3</v>
      </c>
      <c r="BD36" s="1" t="s">
        <v>1</v>
      </c>
      <c r="BE36" s="1" t="s">
        <v>2</v>
      </c>
      <c r="BF36" s="1" t="s">
        <v>1</v>
      </c>
      <c r="BG36" s="1" t="s">
        <v>2</v>
      </c>
    </row>
    <row r="37" spans="1:59" x14ac:dyDescent="0.2">
      <c r="A37">
        <v>34</v>
      </c>
      <c r="B37" t="s">
        <v>65</v>
      </c>
      <c r="C37" s="4">
        <v>1044018</v>
      </c>
      <c r="D37" t="s">
        <v>64</v>
      </c>
      <c r="E37">
        <v>43911</v>
      </c>
      <c r="G37" s="7" cm="1">
        <f t="array" ref="G37">SUMPRODUCT(--(J37:BG37=$J$1:$BG$1))</f>
        <v>25</v>
      </c>
      <c r="H37" s="16" t="str">
        <f t="shared" si="1"/>
        <v>+0.5</v>
      </c>
      <c r="I37" s="10">
        <f t="shared" si="0"/>
        <v>0.5</v>
      </c>
      <c r="J37" s="1" t="s">
        <v>1</v>
      </c>
      <c r="K37" s="1" t="s">
        <v>4</v>
      </c>
      <c r="L37" s="1" t="s">
        <v>1</v>
      </c>
      <c r="M37" s="1" t="s">
        <v>1</v>
      </c>
      <c r="N37" s="1" t="s">
        <v>3</v>
      </c>
      <c r="O37" s="1" t="s">
        <v>2</v>
      </c>
      <c r="P37" s="1" t="s">
        <v>4</v>
      </c>
      <c r="Q37" s="1" t="s">
        <v>4</v>
      </c>
      <c r="R37" s="1" t="s">
        <v>2</v>
      </c>
      <c r="S37" s="1" t="s">
        <v>3</v>
      </c>
      <c r="T37" s="1" t="s">
        <v>2</v>
      </c>
      <c r="U37" s="1" t="s">
        <v>2</v>
      </c>
      <c r="V37" s="1" t="s">
        <v>3</v>
      </c>
      <c r="W37" s="1" t="s">
        <v>4</v>
      </c>
      <c r="X37" s="1" t="s">
        <v>4</v>
      </c>
      <c r="Y37" s="1" t="s">
        <v>1</v>
      </c>
      <c r="Z37" s="1" t="s">
        <v>3</v>
      </c>
      <c r="AA37" s="1" t="s">
        <v>1</v>
      </c>
      <c r="AB37" s="1" t="s">
        <v>4</v>
      </c>
      <c r="AC37" s="1" t="s">
        <v>1</v>
      </c>
      <c r="AD37" s="1" t="s">
        <v>4</v>
      </c>
      <c r="AE37" s="1" t="s">
        <v>2</v>
      </c>
      <c r="AF37" s="1" t="s">
        <v>1</v>
      </c>
      <c r="AG37" s="1" t="s">
        <v>1</v>
      </c>
      <c r="AH37" s="1" t="s">
        <v>4</v>
      </c>
      <c r="AI37" s="1" t="s">
        <v>3</v>
      </c>
      <c r="AJ37" s="1" t="s">
        <v>3</v>
      </c>
      <c r="AK37" s="1" t="s">
        <v>4</v>
      </c>
      <c r="AL37" s="1" t="s">
        <v>1</v>
      </c>
      <c r="AM37" s="1" t="s">
        <v>3</v>
      </c>
      <c r="AN37" s="1" t="s">
        <v>2</v>
      </c>
      <c r="AO37" s="1" t="s">
        <v>1</v>
      </c>
      <c r="AP37" s="1" t="s">
        <v>3</v>
      </c>
      <c r="AQ37" s="1" t="s">
        <v>2</v>
      </c>
      <c r="AR37" s="1" t="s">
        <v>4</v>
      </c>
      <c r="AS37" s="1" t="s">
        <v>2</v>
      </c>
      <c r="AT37" s="1" t="s">
        <v>1</v>
      </c>
      <c r="AU37" s="1" t="s">
        <v>1</v>
      </c>
      <c r="AV37" s="1" t="s">
        <v>2</v>
      </c>
      <c r="AW37" s="1" t="s">
        <v>4</v>
      </c>
      <c r="AX37" s="1" t="s">
        <v>3</v>
      </c>
      <c r="AY37" s="1" t="s">
        <v>2</v>
      </c>
      <c r="AZ37" s="1" t="s">
        <v>3</v>
      </c>
      <c r="BA37" s="1" t="s">
        <v>2</v>
      </c>
      <c r="BB37" s="1" t="s">
        <v>1</v>
      </c>
      <c r="BC37" s="1" t="s">
        <v>1</v>
      </c>
      <c r="BD37" s="1" t="s">
        <v>2</v>
      </c>
      <c r="BE37" s="1" t="s">
        <v>2</v>
      </c>
      <c r="BF37" s="1" t="s">
        <v>2</v>
      </c>
      <c r="BG37" s="1" t="s">
        <v>4</v>
      </c>
    </row>
    <row r="38" spans="1:59" x14ac:dyDescent="0.2">
      <c r="A38">
        <v>35</v>
      </c>
      <c r="B38" t="s">
        <v>99</v>
      </c>
      <c r="C38" s="4">
        <v>1046501</v>
      </c>
      <c r="D38" t="s">
        <v>98</v>
      </c>
      <c r="E38">
        <v>43908</v>
      </c>
      <c r="G38" s="7" cm="1">
        <f t="array" ref="G38">SUMPRODUCT(--(J38:BG38=$J$1:$BG$1))</f>
        <v>22</v>
      </c>
      <c r="H38" s="16" t="str">
        <f t="shared" si="1"/>
        <v>+0.0</v>
      </c>
      <c r="I38" s="10">
        <f t="shared" si="0"/>
        <v>0.44</v>
      </c>
      <c r="J38" s="1" t="s">
        <v>1</v>
      </c>
      <c r="K38" s="1" t="s">
        <v>4</v>
      </c>
      <c r="L38" s="1" t="s">
        <v>1</v>
      </c>
      <c r="M38" s="1" t="s">
        <v>3</v>
      </c>
      <c r="N38" s="1" t="s">
        <v>1</v>
      </c>
      <c r="O38" s="1" t="s">
        <v>3</v>
      </c>
      <c r="P38" s="1" t="s">
        <v>3</v>
      </c>
      <c r="Q38" s="1" t="s">
        <v>4</v>
      </c>
      <c r="R38" s="1" t="s">
        <v>2</v>
      </c>
      <c r="S38" s="1" t="s">
        <v>3</v>
      </c>
      <c r="T38" s="1" t="s">
        <v>3</v>
      </c>
      <c r="U38" s="1" t="s">
        <v>4</v>
      </c>
      <c r="V38" s="1" t="s">
        <v>1</v>
      </c>
      <c r="W38" s="1" t="s">
        <v>2</v>
      </c>
      <c r="X38" s="1" t="s">
        <v>4</v>
      </c>
      <c r="Y38" s="1" t="s">
        <v>2</v>
      </c>
      <c r="Z38" s="1" t="s">
        <v>3</v>
      </c>
      <c r="AA38" s="1" t="s">
        <v>2</v>
      </c>
      <c r="AB38" s="1" t="s">
        <v>2</v>
      </c>
      <c r="AC38" s="1" t="s">
        <v>1</v>
      </c>
      <c r="AD38" s="1" t="s">
        <v>2</v>
      </c>
      <c r="AE38" s="1" t="s">
        <v>1</v>
      </c>
      <c r="AF38" s="1" t="s">
        <v>1</v>
      </c>
      <c r="AG38" s="1" t="s">
        <v>2</v>
      </c>
      <c r="AH38" s="1" t="s">
        <v>2</v>
      </c>
      <c r="AI38" s="1" t="s">
        <v>2</v>
      </c>
      <c r="AJ38" s="1" t="s">
        <v>4</v>
      </c>
      <c r="AK38" s="1" t="s">
        <v>1</v>
      </c>
      <c r="AL38" s="1" t="s">
        <v>3</v>
      </c>
      <c r="AM38" s="1" t="s">
        <v>3</v>
      </c>
      <c r="AN38" s="1" t="s">
        <v>1</v>
      </c>
      <c r="AO38" s="1" t="s">
        <v>4</v>
      </c>
      <c r="AP38" s="1" t="s">
        <v>3</v>
      </c>
      <c r="AQ38" s="1" t="s">
        <v>3</v>
      </c>
      <c r="AR38" s="1" t="s">
        <v>1</v>
      </c>
      <c r="AS38" s="1" t="s">
        <v>1</v>
      </c>
      <c r="AT38" s="1" t="s">
        <v>2</v>
      </c>
      <c r="AU38" s="1" t="s">
        <v>4</v>
      </c>
      <c r="AV38" s="1" t="s">
        <v>4</v>
      </c>
      <c r="AW38" s="1" t="s">
        <v>4</v>
      </c>
      <c r="AX38" s="1" t="s">
        <v>3</v>
      </c>
      <c r="AY38" s="1" t="s">
        <v>3</v>
      </c>
      <c r="AZ38" s="1" t="s">
        <v>3</v>
      </c>
      <c r="BA38" s="1" t="s">
        <v>3</v>
      </c>
      <c r="BB38" s="1" t="s">
        <v>4</v>
      </c>
      <c r="BC38" s="1" t="s">
        <v>2</v>
      </c>
      <c r="BD38" s="1" t="s">
        <v>2</v>
      </c>
      <c r="BE38" s="1" t="s">
        <v>3</v>
      </c>
      <c r="BF38" s="1" t="s">
        <v>2</v>
      </c>
      <c r="BG38" s="1" t="s">
        <v>2</v>
      </c>
    </row>
    <row r="39" spans="1:59" x14ac:dyDescent="0.2">
      <c r="A39">
        <v>36</v>
      </c>
      <c r="B39" t="s">
        <v>123</v>
      </c>
      <c r="C39" s="4">
        <v>1050137</v>
      </c>
      <c r="D39" t="s">
        <v>122</v>
      </c>
      <c r="E39">
        <v>43911</v>
      </c>
      <c r="G39" s="7" cm="1">
        <f t="array" ref="G39">SUMPRODUCT(--(J39:BG39=$J$1:$BG$1))</f>
        <v>34</v>
      </c>
      <c r="H39" s="16" t="str">
        <f t="shared" si="1"/>
        <v>+1.8</v>
      </c>
      <c r="I39" s="10">
        <f t="shared" si="0"/>
        <v>0.68</v>
      </c>
      <c r="J39" s="1" t="s">
        <v>1</v>
      </c>
      <c r="K39" s="1" t="s">
        <v>1</v>
      </c>
      <c r="L39" s="1" t="s">
        <v>1</v>
      </c>
      <c r="M39" s="1" t="s">
        <v>4</v>
      </c>
      <c r="N39" s="1" t="s">
        <v>1</v>
      </c>
      <c r="O39" s="1" t="s">
        <v>2</v>
      </c>
      <c r="P39" s="1" t="s">
        <v>2</v>
      </c>
      <c r="Q39" s="1" t="s">
        <v>4</v>
      </c>
      <c r="R39" s="1" t="s">
        <v>2</v>
      </c>
      <c r="S39" s="1" t="s">
        <v>4</v>
      </c>
      <c r="T39" s="1" t="s">
        <v>3</v>
      </c>
      <c r="U39" s="1" t="s">
        <v>4</v>
      </c>
      <c r="V39" s="1" t="s">
        <v>1</v>
      </c>
      <c r="W39" s="1" t="s">
        <v>1</v>
      </c>
      <c r="X39" s="1" t="s">
        <v>3</v>
      </c>
      <c r="Y39" s="1" t="s">
        <v>1</v>
      </c>
      <c r="Z39" s="1" t="s">
        <v>3</v>
      </c>
      <c r="AA39" s="1" t="s">
        <v>1</v>
      </c>
      <c r="AB39" s="1" t="s">
        <v>2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3</v>
      </c>
      <c r="AH39" s="1" t="s">
        <v>1</v>
      </c>
      <c r="AI39" s="1" t="s">
        <v>3</v>
      </c>
      <c r="AJ39" s="1" t="s">
        <v>3</v>
      </c>
      <c r="AK39" s="1" t="s">
        <v>4</v>
      </c>
      <c r="AL39" s="1" t="s">
        <v>4</v>
      </c>
      <c r="AM39" s="1" t="s">
        <v>3</v>
      </c>
      <c r="AN39" s="1" t="s">
        <v>3</v>
      </c>
      <c r="AO39" s="1" t="s">
        <v>2</v>
      </c>
      <c r="AP39" s="1" t="s">
        <v>3</v>
      </c>
      <c r="AQ39" s="1" t="s">
        <v>2</v>
      </c>
      <c r="AR39" s="1" t="s">
        <v>1</v>
      </c>
      <c r="AS39" s="1" t="s">
        <v>2</v>
      </c>
      <c r="AT39" s="1" t="s">
        <v>1</v>
      </c>
      <c r="AU39" s="1" t="s">
        <v>1</v>
      </c>
      <c r="AV39" s="1" t="s">
        <v>4</v>
      </c>
      <c r="AW39" s="1" t="s">
        <v>1</v>
      </c>
      <c r="AX39" s="1" t="s">
        <v>3</v>
      </c>
      <c r="AY39" s="1" t="s">
        <v>3</v>
      </c>
      <c r="AZ39" s="1" t="s">
        <v>3</v>
      </c>
      <c r="BA39" s="1" t="s">
        <v>4</v>
      </c>
      <c r="BB39" s="1" t="s">
        <v>1</v>
      </c>
      <c r="BC39" s="1" t="s">
        <v>1</v>
      </c>
      <c r="BD39" s="1" t="s">
        <v>3</v>
      </c>
      <c r="BE39" s="1" t="s">
        <v>4</v>
      </c>
      <c r="BF39" s="1" t="s">
        <v>2</v>
      </c>
      <c r="BG39" s="1" t="s">
        <v>3</v>
      </c>
    </row>
    <row r="40" spans="1:59" x14ac:dyDescent="0.2">
      <c r="A40">
        <v>37</v>
      </c>
      <c r="B40" t="s">
        <v>89</v>
      </c>
      <c r="C40" s="4">
        <v>1052365</v>
      </c>
      <c r="D40" t="s">
        <v>88</v>
      </c>
      <c r="E40">
        <v>43908</v>
      </c>
      <c r="G40" s="7" cm="1">
        <f t="array" ref="G40">SUMPRODUCT(--(J40:BG40=$J$1:$BG$1))</f>
        <v>24</v>
      </c>
      <c r="H40" s="16" t="str">
        <f t="shared" si="1"/>
        <v>+0.3</v>
      </c>
      <c r="I40" s="10">
        <f t="shared" si="0"/>
        <v>0.48</v>
      </c>
      <c r="J40" s="1" t="s">
        <v>1</v>
      </c>
      <c r="K40" s="1" t="s">
        <v>1</v>
      </c>
      <c r="L40" s="1" t="s">
        <v>1</v>
      </c>
      <c r="M40" s="1" t="s">
        <v>4</v>
      </c>
      <c r="N40" s="1" t="s">
        <v>2</v>
      </c>
      <c r="O40" s="1" t="s">
        <v>4</v>
      </c>
      <c r="P40" s="1" t="s">
        <v>2</v>
      </c>
      <c r="Q40" s="1" t="s">
        <v>4</v>
      </c>
      <c r="R40" s="1" t="s">
        <v>2</v>
      </c>
      <c r="S40" s="1" t="s">
        <v>3</v>
      </c>
      <c r="T40" s="1" t="s">
        <v>3</v>
      </c>
      <c r="U40" s="1" t="s">
        <v>4</v>
      </c>
      <c r="V40" s="1" t="s">
        <v>3</v>
      </c>
      <c r="W40" s="1" t="s">
        <v>1</v>
      </c>
      <c r="X40" s="1" t="s">
        <v>4</v>
      </c>
      <c r="Y40" s="1" t="s">
        <v>1</v>
      </c>
      <c r="Z40" s="1" t="s">
        <v>3</v>
      </c>
      <c r="AA40" s="1" t="s">
        <v>1</v>
      </c>
      <c r="AB40" s="1" t="s">
        <v>2</v>
      </c>
      <c r="AC40" s="1" t="s">
        <v>4</v>
      </c>
      <c r="AD40" s="1" t="s">
        <v>2</v>
      </c>
      <c r="AE40" s="1" t="s">
        <v>1</v>
      </c>
      <c r="AF40" s="1" t="s">
        <v>2</v>
      </c>
      <c r="AG40" s="1" t="s">
        <v>2</v>
      </c>
      <c r="AH40" s="1" t="s">
        <v>4</v>
      </c>
      <c r="AI40" s="1" t="s">
        <v>1</v>
      </c>
      <c r="AJ40" s="1" t="s">
        <v>1</v>
      </c>
      <c r="AK40" s="1" t="s">
        <v>4</v>
      </c>
      <c r="AL40" s="1" t="s">
        <v>4</v>
      </c>
      <c r="AM40" s="1" t="s">
        <v>3</v>
      </c>
      <c r="AN40" s="1" t="s">
        <v>3</v>
      </c>
      <c r="AO40" s="1" t="s">
        <v>2</v>
      </c>
      <c r="AP40" s="1" t="s">
        <v>4</v>
      </c>
      <c r="AQ40" s="1" t="s">
        <v>4</v>
      </c>
      <c r="AR40" s="1" t="s">
        <v>1</v>
      </c>
      <c r="AS40" s="1" t="s">
        <v>2</v>
      </c>
      <c r="AT40" s="1" t="s">
        <v>2</v>
      </c>
      <c r="AU40" s="1" t="s">
        <v>1</v>
      </c>
      <c r="AV40" s="1" t="s">
        <v>3</v>
      </c>
      <c r="AW40" s="1" t="s">
        <v>4</v>
      </c>
      <c r="AX40" s="1" t="s">
        <v>3</v>
      </c>
      <c r="AY40" s="1" t="s">
        <v>3</v>
      </c>
      <c r="AZ40" s="1" t="s">
        <v>3</v>
      </c>
      <c r="BA40" s="1" t="s">
        <v>4</v>
      </c>
      <c r="BB40" s="1" t="s">
        <v>4</v>
      </c>
      <c r="BC40" s="1" t="s">
        <v>2</v>
      </c>
      <c r="BD40" s="1" t="s">
        <v>2</v>
      </c>
      <c r="BE40" s="1" t="s">
        <v>1</v>
      </c>
      <c r="BF40" s="1" t="s">
        <v>2</v>
      </c>
      <c r="BG40" s="1" t="s">
        <v>2</v>
      </c>
    </row>
    <row r="41" spans="1:59" x14ac:dyDescent="0.2">
      <c r="A41">
        <v>38</v>
      </c>
      <c r="B41" t="s">
        <v>137</v>
      </c>
      <c r="C41" s="4">
        <v>1054327</v>
      </c>
      <c r="D41" t="s">
        <v>136</v>
      </c>
      <c r="E41">
        <v>43911</v>
      </c>
      <c r="G41" s="7" cm="1">
        <f t="array" ref="G41">SUMPRODUCT(--(J41:BG41=$J$1:$BG$1))</f>
        <v>28</v>
      </c>
      <c r="H41" s="16" t="str">
        <f t="shared" si="1"/>
        <v>+0.9</v>
      </c>
      <c r="I41" s="10">
        <f t="shared" si="0"/>
        <v>0.56000000000000005</v>
      </c>
      <c r="J41" s="1" t="s">
        <v>1</v>
      </c>
      <c r="K41" s="1" t="s">
        <v>4</v>
      </c>
      <c r="L41" s="1" t="s">
        <v>3</v>
      </c>
      <c r="M41" s="1" t="s">
        <v>1</v>
      </c>
      <c r="N41" s="1" t="s">
        <v>1</v>
      </c>
      <c r="O41" s="1" t="s">
        <v>2</v>
      </c>
      <c r="P41" s="1" t="s">
        <v>2</v>
      </c>
      <c r="Q41" s="1" t="s">
        <v>4</v>
      </c>
      <c r="R41" s="1" t="s">
        <v>2</v>
      </c>
      <c r="S41" s="1" t="s">
        <v>4</v>
      </c>
      <c r="T41" s="1" t="s">
        <v>2</v>
      </c>
      <c r="U41" s="1" t="s">
        <v>2</v>
      </c>
      <c r="V41" s="1" t="s">
        <v>3</v>
      </c>
      <c r="W41" s="1" t="s">
        <v>0</v>
      </c>
      <c r="X41" s="1" t="s">
        <v>3</v>
      </c>
      <c r="Y41" s="1" t="s">
        <v>2</v>
      </c>
      <c r="Z41" s="1" t="s">
        <v>4</v>
      </c>
      <c r="AA41" s="1" t="s">
        <v>2</v>
      </c>
      <c r="AB41" s="1" t="s">
        <v>1</v>
      </c>
      <c r="AC41" s="1" t="s">
        <v>2</v>
      </c>
      <c r="AD41" s="1" t="s">
        <v>4</v>
      </c>
      <c r="AE41" s="1" t="s">
        <v>3</v>
      </c>
      <c r="AF41" s="1" t="s">
        <v>4</v>
      </c>
      <c r="AG41" s="1" t="s">
        <v>2</v>
      </c>
      <c r="AH41" s="1" t="s">
        <v>4</v>
      </c>
      <c r="AI41" s="1" t="s">
        <v>3</v>
      </c>
      <c r="AJ41" s="1" t="s">
        <v>3</v>
      </c>
      <c r="AK41" s="1" t="s">
        <v>4</v>
      </c>
      <c r="AL41" s="1" t="s">
        <v>4</v>
      </c>
      <c r="AM41" s="1" t="s">
        <v>2</v>
      </c>
      <c r="AN41" s="1" t="s">
        <v>1</v>
      </c>
      <c r="AO41" s="1" t="s">
        <v>4</v>
      </c>
      <c r="AP41" s="1" t="s">
        <v>3</v>
      </c>
      <c r="AQ41" s="1" t="s">
        <v>2</v>
      </c>
      <c r="AR41" s="1" t="s">
        <v>1</v>
      </c>
      <c r="AS41" s="1" t="s">
        <v>2</v>
      </c>
      <c r="AT41" s="1" t="s">
        <v>3</v>
      </c>
      <c r="AU41" s="1" t="s">
        <v>1</v>
      </c>
      <c r="AV41" s="1" t="s">
        <v>4</v>
      </c>
      <c r="AW41" s="1" t="s">
        <v>2</v>
      </c>
      <c r="AX41" s="1" t="s">
        <v>4</v>
      </c>
      <c r="AY41" s="1" t="s">
        <v>2</v>
      </c>
      <c r="AZ41" s="1" t="s">
        <v>4</v>
      </c>
      <c r="BA41" s="1" t="s">
        <v>2</v>
      </c>
      <c r="BB41" s="1" t="s">
        <v>4</v>
      </c>
      <c r="BC41" s="1" t="s">
        <v>1</v>
      </c>
      <c r="BD41" s="1" t="s">
        <v>2</v>
      </c>
      <c r="BE41" s="1" t="s">
        <v>2</v>
      </c>
      <c r="BF41" s="1" t="s">
        <v>5</v>
      </c>
      <c r="BG41" s="1" t="s">
        <v>3</v>
      </c>
    </row>
    <row r="43" spans="1:59" x14ac:dyDescent="0.2">
      <c r="F43" s="13" t="s">
        <v>184</v>
      </c>
      <c r="G43" s="17">
        <f>AVERAGE(G4:G41)</f>
        <v>21.921052631578949</v>
      </c>
      <c r="I43" s="9"/>
    </row>
    <row r="44" spans="1:59" x14ac:dyDescent="0.2">
      <c r="F44" s="13" t="s">
        <v>186</v>
      </c>
      <c r="G44" s="17">
        <f>STDEV(G4:G41)</f>
        <v>6.5321722679132996</v>
      </c>
      <c r="I44" s="14"/>
    </row>
    <row r="45" spans="1:59" x14ac:dyDescent="0.2">
      <c r="F45" s="13" t="s">
        <v>185</v>
      </c>
      <c r="G45">
        <f>MEDIAN(G4:G41)</f>
        <v>20</v>
      </c>
      <c r="I45" s="9"/>
    </row>
    <row r="46" spans="1:59" x14ac:dyDescent="0.2">
      <c r="F46" s="13" t="s">
        <v>189</v>
      </c>
      <c r="G46">
        <f>MODE(G4:G41)</f>
        <v>18</v>
      </c>
      <c r="I46" s="1"/>
    </row>
    <row r="47" spans="1:59" x14ac:dyDescent="0.2">
      <c r="F47" s="13" t="s">
        <v>190</v>
      </c>
      <c r="G47">
        <f>MAX(G4:G41)</f>
        <v>36</v>
      </c>
      <c r="I47" s="1"/>
    </row>
    <row r="48" spans="1:59" x14ac:dyDescent="0.2">
      <c r="F48" s="13" t="s">
        <v>191</v>
      </c>
      <c r="G48">
        <f>MIN(G4:G41)</f>
        <v>13</v>
      </c>
      <c r="I48" s="1"/>
    </row>
    <row r="49" spans="2:12" x14ac:dyDescent="0.2">
      <c r="F49" s="13" t="s">
        <v>187</v>
      </c>
      <c r="G49">
        <f>COUNT(G4:G41)</f>
        <v>38</v>
      </c>
      <c r="I49" s="1"/>
    </row>
    <row r="50" spans="2:12" x14ac:dyDescent="0.2">
      <c r="H50" s="1"/>
      <c r="I50" s="1"/>
    </row>
    <row r="51" spans="2:12" x14ac:dyDescent="0.2">
      <c r="B51" s="2" t="s">
        <v>182</v>
      </c>
    </row>
    <row r="52" spans="2:12" x14ac:dyDescent="0.2">
      <c r="B52" t="s">
        <v>129</v>
      </c>
      <c r="C52" s="5" t="s">
        <v>171</v>
      </c>
      <c r="D52" t="s">
        <v>128</v>
      </c>
      <c r="E52">
        <v>43908</v>
      </c>
    </row>
    <row r="53" spans="2:12" x14ac:dyDescent="0.2">
      <c r="B53" t="s">
        <v>131</v>
      </c>
      <c r="C53" s="5" t="s">
        <v>172</v>
      </c>
      <c r="D53" t="s">
        <v>130</v>
      </c>
      <c r="E53">
        <v>43908</v>
      </c>
    </row>
    <row r="54" spans="2:12" x14ac:dyDescent="0.2">
      <c r="B54" t="s">
        <v>101</v>
      </c>
      <c r="C54" s="5" t="s">
        <v>164</v>
      </c>
      <c r="D54" t="s">
        <v>100</v>
      </c>
      <c r="E54">
        <v>43911</v>
      </c>
      <c r="K54" s="6"/>
      <c r="L54" s="3"/>
    </row>
    <row r="55" spans="2:12" x14ac:dyDescent="0.2">
      <c r="B55" t="s">
        <v>97</v>
      </c>
      <c r="C55" s="5" t="s">
        <v>163</v>
      </c>
      <c r="D55" t="s">
        <v>96</v>
      </c>
      <c r="E55">
        <v>43908</v>
      </c>
    </row>
    <row r="56" spans="2:12" x14ac:dyDescent="0.2">
      <c r="B56" t="s">
        <v>135</v>
      </c>
      <c r="C56" s="5" t="s">
        <v>173</v>
      </c>
      <c r="D56" t="s">
        <v>134</v>
      </c>
      <c r="E56">
        <v>43908</v>
      </c>
    </row>
    <row r="57" spans="2:12" x14ac:dyDescent="0.2">
      <c r="B57" t="s">
        <v>79</v>
      </c>
      <c r="C57" s="4">
        <v>1020318</v>
      </c>
      <c r="D57" t="s">
        <v>78</v>
      </c>
      <c r="E57">
        <v>43911</v>
      </c>
    </row>
    <row r="58" spans="2:12" x14ac:dyDescent="0.2">
      <c r="B58" t="s">
        <v>77</v>
      </c>
      <c r="C58" s="4">
        <v>1033122</v>
      </c>
      <c r="D58" t="s">
        <v>76</v>
      </c>
      <c r="E58">
        <v>43908</v>
      </c>
    </row>
    <row r="59" spans="2:12" x14ac:dyDescent="0.2">
      <c r="B59" t="s">
        <v>133</v>
      </c>
      <c r="C59" s="4">
        <v>1036859</v>
      </c>
      <c r="D59" t="s">
        <v>132</v>
      </c>
      <c r="E59">
        <v>43911</v>
      </c>
    </row>
    <row r="60" spans="2:12" x14ac:dyDescent="0.2">
      <c r="C60" s="5"/>
    </row>
    <row r="61" spans="2:12" x14ac:dyDescent="0.2">
      <c r="C61" s="5"/>
    </row>
    <row r="62" spans="2:12" x14ac:dyDescent="0.2">
      <c r="C62" s="5"/>
    </row>
    <row r="63" spans="2:12" x14ac:dyDescent="0.2">
      <c r="C63" s="5"/>
    </row>
    <row r="64" spans="2:12" x14ac:dyDescent="0.2">
      <c r="C64" s="5"/>
    </row>
    <row r="65" spans="3:3" x14ac:dyDescent="0.2">
      <c r="C65" s="5"/>
    </row>
    <row r="66" spans="3:3" x14ac:dyDescent="0.2">
      <c r="C66" s="5"/>
    </row>
    <row r="67" spans="3:3" x14ac:dyDescent="0.2">
      <c r="C67" s="5"/>
    </row>
    <row r="68" spans="3:3" x14ac:dyDescent="0.2">
      <c r="C68" s="5"/>
    </row>
    <row r="69" spans="3:3" x14ac:dyDescent="0.2">
      <c r="C69" s="5"/>
    </row>
    <row r="70" spans="3:3" x14ac:dyDescent="0.2">
      <c r="C70" s="5"/>
    </row>
    <row r="71" spans="3:3" x14ac:dyDescent="0.2">
      <c r="C71" s="5"/>
    </row>
    <row r="72" spans="3:3" x14ac:dyDescent="0.2">
      <c r="C72" s="5"/>
    </row>
  </sheetData>
  <sortState xmlns:xlrd2="http://schemas.microsoft.com/office/spreadsheetml/2017/richdata2" ref="B4:BG115">
    <sortCondition ref="C4:C115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fcc-labs</dc:creator>
  <cp:lastModifiedBy>Mitch Halloran</cp:lastModifiedBy>
  <dcterms:created xsi:type="dcterms:W3CDTF">2025-12-06T23:50:02Z</dcterms:created>
  <dcterms:modified xsi:type="dcterms:W3CDTF">2025-12-10T07:19:23Z</dcterms:modified>
</cp:coreProperties>
</file>