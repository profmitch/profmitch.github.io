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avigozler GitHub\mavigozler.github.io\Teaching\Chemistry\Exams\Exam #2\"/>
    </mc:Choice>
  </mc:AlternateContent>
  <xr:revisionPtr revIDLastSave="0" documentId="13_ncr:1_{84B031BD-7517-446D-8C29-02D95BEB80F4}" xr6:coauthVersionLast="47" xr6:coauthVersionMax="47" xr10:uidLastSave="{00000000-0000-0000-0000-000000000000}"/>
  <bookViews>
    <workbookView xWindow="105" yWindow="555" windowWidth="38700" windowHeight="18300" xr2:uid="{CA88EED3-87E7-43C8-9C68-9675A576A903}"/>
  </bookViews>
  <sheets>
    <sheet name="Scoring" sheetId="2" r:id="rId1"/>
    <sheet name="Sheet2" sheetId="6" r:id="rId2"/>
    <sheet name="For Canvas" sheetId="4" r:id="rId3"/>
    <sheet name="I have two PDFs I am uploading " sheetId="1" r:id="rId4"/>
    <sheet name="Student Roster"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S19" i="4"/>
  <c r="S20" i="4"/>
  <c r="S21" i="4"/>
  <c r="S22" i="4"/>
  <c r="S23" i="4"/>
  <c r="S24" i="4"/>
  <c r="S25" i="4"/>
  <c r="S26" i="4"/>
  <c r="S27" i="4"/>
  <c r="S28" i="4"/>
  <c r="S29" i="4"/>
  <c r="S30" i="4"/>
  <c r="S31" i="4"/>
  <c r="S32" i="4"/>
  <c r="S33" i="4"/>
  <c r="P33" i="4" s="1"/>
  <c r="S34" i="4"/>
  <c r="S35" i="4"/>
  <c r="S36" i="4"/>
  <c r="S37" i="4"/>
  <c r="S38" i="4"/>
  <c r="S39" i="4"/>
  <c r="S40" i="4"/>
  <c r="S41" i="4"/>
  <c r="S42" i="4"/>
  <c r="S43" i="4"/>
  <c r="S44" i="4"/>
  <c r="S45" i="4"/>
  <c r="P45" i="4" s="1"/>
  <c r="S46" i="4"/>
  <c r="S47" i="4"/>
  <c r="S48" i="4"/>
  <c r="P48" i="4" s="1"/>
  <c r="S49" i="4"/>
  <c r="S50" i="4"/>
  <c r="S51" i="4"/>
  <c r="S52" i="4"/>
  <c r="S53" i="4"/>
  <c r="S54" i="4"/>
  <c r="S4" i="4"/>
  <c r="S5" i="4"/>
  <c r="S6" i="4"/>
  <c r="S7" i="4"/>
  <c r="S8" i="4"/>
  <c r="S9" i="4"/>
  <c r="S10" i="4"/>
  <c r="S11" i="4"/>
  <c r="S12" i="4"/>
  <c r="S13" i="4"/>
  <c r="S14" i="4"/>
  <c r="S15" i="4"/>
  <c r="S16" i="4"/>
  <c r="S17" i="4"/>
  <c r="S18" i="4"/>
  <c r="S3" i="4"/>
  <c r="P52" i="4"/>
  <c r="P27" i="4"/>
  <c r="R29" i="4"/>
  <c r="R30" i="4"/>
  <c r="R31" i="4"/>
  <c r="R32" i="4"/>
  <c r="R33" i="4"/>
  <c r="R34" i="4"/>
  <c r="R35" i="4"/>
  <c r="R36" i="4"/>
  <c r="R37" i="4"/>
  <c r="R38" i="4"/>
  <c r="R39" i="4"/>
  <c r="R40" i="4"/>
  <c r="R41" i="4"/>
  <c r="R42" i="4"/>
  <c r="R43" i="4"/>
  <c r="R44" i="4"/>
  <c r="R45" i="4"/>
  <c r="R46" i="4"/>
  <c r="R47" i="4"/>
  <c r="R48" i="4"/>
  <c r="R49" i="4"/>
  <c r="R50" i="4"/>
  <c r="R51" i="4"/>
  <c r="R52" i="4"/>
  <c r="R53" i="4"/>
  <c r="R54" i="4"/>
  <c r="R4" i="4"/>
  <c r="R5" i="4"/>
  <c r="R6" i="4"/>
  <c r="R7" i="4"/>
  <c r="R8" i="4"/>
  <c r="R9" i="4"/>
  <c r="R10" i="4"/>
  <c r="R11" i="4"/>
  <c r="R12" i="4"/>
  <c r="R13" i="4"/>
  <c r="R14" i="4"/>
  <c r="R15" i="4"/>
  <c r="R16" i="4"/>
  <c r="R17" i="4"/>
  <c r="R18" i="4"/>
  <c r="R19" i="4"/>
  <c r="R20" i="4"/>
  <c r="R21" i="4"/>
  <c r="R22" i="4"/>
  <c r="R23" i="4"/>
  <c r="R24" i="4"/>
  <c r="R25" i="4"/>
  <c r="R26" i="4"/>
  <c r="R27" i="4"/>
  <c r="R28" i="4"/>
  <c r="R3" i="4"/>
  <c r="Q57" i="4"/>
  <c r="Q56"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4" i="4"/>
  <c r="Q5" i="4"/>
  <c r="Q6" i="4"/>
  <c r="Q7" i="4"/>
  <c r="Q3" i="4"/>
  <c r="Q70" i="2"/>
  <c r="Q69" i="2"/>
  <c r="Q68" i="2"/>
  <c r="Q67" i="2"/>
  <c r="Q66" i="2"/>
  <c r="AQ65" i="2"/>
  <c r="AR65" i="2"/>
  <c r="AS65" i="2"/>
  <c r="AT65" i="2"/>
  <c r="AU65" i="2"/>
  <c r="AV65" i="2"/>
  <c r="AW65" i="2"/>
  <c r="AX65" i="2"/>
  <c r="AY65" i="2"/>
  <c r="AP65" i="2"/>
  <c r="S65" i="2"/>
  <c r="T65" i="2"/>
  <c r="U65" i="2"/>
  <c r="V65" i="2"/>
  <c r="W65" i="2"/>
  <c r="X65" i="2"/>
  <c r="Y65" i="2"/>
  <c r="Z65" i="2"/>
  <c r="AA65" i="2"/>
  <c r="AB65" i="2"/>
  <c r="AC65" i="2"/>
  <c r="AD65" i="2"/>
  <c r="AE65" i="2"/>
  <c r="AF65" i="2"/>
  <c r="AG65" i="2"/>
  <c r="P66" i="2" s="1"/>
  <c r="AH65" i="2"/>
  <c r="AI65" i="2"/>
  <c r="AJ65" i="2"/>
  <c r="AK65" i="2"/>
  <c r="AL65" i="2"/>
  <c r="AM65" i="2"/>
  <c r="AN65" i="2"/>
  <c r="AO65" i="2"/>
  <c r="R65" i="2"/>
  <c r="Q65" i="2"/>
  <c r="P4" i="4"/>
  <c r="P5" i="4"/>
  <c r="P6" i="4"/>
  <c r="P7" i="4"/>
  <c r="P8" i="4"/>
  <c r="P9" i="4"/>
  <c r="P10" i="4"/>
  <c r="P11" i="4"/>
  <c r="P12" i="4"/>
  <c r="P13" i="4"/>
  <c r="P14" i="4"/>
  <c r="P15" i="4"/>
  <c r="P16" i="4"/>
  <c r="P17" i="4"/>
  <c r="P18" i="4"/>
  <c r="P19" i="4"/>
  <c r="P20" i="4"/>
  <c r="P21" i="4"/>
  <c r="P22" i="4"/>
  <c r="P23" i="4"/>
  <c r="P24" i="4"/>
  <c r="P25" i="4"/>
  <c r="P26" i="4"/>
  <c r="P28" i="4"/>
  <c r="P29" i="4"/>
  <c r="P30" i="4"/>
  <c r="P31" i="4"/>
  <c r="P32" i="4"/>
  <c r="P34" i="4"/>
  <c r="P35" i="4"/>
  <c r="P36" i="4"/>
  <c r="P37" i="4"/>
  <c r="P38" i="4"/>
  <c r="P39" i="4"/>
  <c r="P40" i="4"/>
  <c r="P41" i="4"/>
  <c r="P42" i="4"/>
  <c r="P43" i="4"/>
  <c r="P44" i="4"/>
  <c r="P46" i="4"/>
  <c r="P47" i="4"/>
  <c r="P49" i="4"/>
  <c r="P50" i="4"/>
  <c r="P51" i="4"/>
  <c r="P53" i="4"/>
  <c r="P54" i="4"/>
  <c r="P3" i="4"/>
  <c r="J52" i="2" a="1"/>
  <c r="J52" i="2" s="1"/>
  <c r="P67" i="2"/>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2" i="6"/>
  <c r="B14" i="6"/>
  <c r="B15" i="6"/>
  <c r="B16" i="6"/>
  <c r="B17" i="6"/>
  <c r="B18" i="6"/>
  <c r="B19" i="6"/>
  <c r="B20" i="6"/>
  <c r="B21" i="6"/>
  <c r="B22" i="6"/>
  <c r="B23" i="6"/>
  <c r="B24" i="6"/>
  <c r="B25" i="6"/>
  <c r="B26" i="6"/>
  <c r="B27" i="6"/>
  <c r="B28" i="6"/>
  <c r="B29" i="6"/>
  <c r="B30" i="6"/>
  <c r="B31" i="6"/>
  <c r="B32" i="6"/>
  <c r="B33" i="6"/>
  <c r="B34" i="6"/>
  <c r="B35" i="6"/>
  <c r="B36" i="6"/>
  <c r="B3" i="6"/>
  <c r="B4" i="6"/>
  <c r="B5" i="6"/>
  <c r="B6" i="6"/>
  <c r="B7" i="6"/>
  <c r="B8" i="6"/>
  <c r="B9" i="6"/>
  <c r="B10" i="6"/>
  <c r="B11" i="6"/>
  <c r="B12" i="6"/>
  <c r="B13" i="6"/>
  <c r="B2" i="6"/>
  <c r="K62" i="2"/>
  <c r="B9" i="2"/>
  <c r="E9" i="2"/>
  <c r="F9" i="2"/>
  <c r="B10" i="2"/>
  <c r="E10" i="2"/>
  <c r="F10" i="2"/>
  <c r="E11" i="2"/>
  <c r="F11" i="2"/>
  <c r="B12" i="2"/>
  <c r="E12" i="2"/>
  <c r="F12" i="2"/>
  <c r="B13" i="2"/>
  <c r="E13" i="2"/>
  <c r="F13" i="2"/>
  <c r="B14" i="2"/>
  <c r="L14" i="2" s="1" a="1"/>
  <c r="L14" i="2" s="1"/>
  <c r="E14" i="2"/>
  <c r="F14" i="2"/>
  <c r="B15" i="2"/>
  <c r="E15" i="2"/>
  <c r="F15" i="2"/>
  <c r="B16" i="2"/>
  <c r="E16" i="2"/>
  <c r="F16" i="2"/>
  <c r="B17" i="2"/>
  <c r="E17" i="2"/>
  <c r="F17" i="2"/>
  <c r="B18" i="2"/>
  <c r="L18" i="2" s="1" a="1"/>
  <c r="L18" i="2" s="1"/>
  <c r="E18" i="2"/>
  <c r="F18" i="2"/>
  <c r="B19" i="2"/>
  <c r="K19" i="2" s="1" a="1"/>
  <c r="K19" i="2" s="1"/>
  <c r="M19" i="2" s="1"/>
  <c r="E19" i="2"/>
  <c r="F19" i="2"/>
  <c r="B20" i="2"/>
  <c r="E20" i="2"/>
  <c r="F20" i="2"/>
  <c r="B21" i="2"/>
  <c r="E21" i="2"/>
  <c r="F21" i="2"/>
  <c r="E22" i="2"/>
  <c r="F22" i="2"/>
  <c r="E23" i="2"/>
  <c r="F23" i="2"/>
  <c r="B24" i="2"/>
  <c r="L24" i="2" s="1" a="1"/>
  <c r="L24" i="2" s="1"/>
  <c r="E24" i="2"/>
  <c r="F24" i="2"/>
  <c r="B25" i="2"/>
  <c r="J25" i="2" s="1" a="1"/>
  <c r="J25" i="2" s="1"/>
  <c r="E25" i="2"/>
  <c r="F25" i="2"/>
  <c r="B26" i="2"/>
  <c r="E26" i="2"/>
  <c r="F26" i="2"/>
  <c r="B27" i="2"/>
  <c r="E27" i="2"/>
  <c r="F27" i="2"/>
  <c r="B28" i="2"/>
  <c r="E28" i="2"/>
  <c r="F28" i="2"/>
  <c r="B29" i="2"/>
  <c r="L29" i="2" s="1" a="1"/>
  <c r="L29" i="2" s="1"/>
  <c r="E29" i="2"/>
  <c r="F29" i="2"/>
  <c r="B30" i="2"/>
  <c r="L30" i="2" s="1" a="1"/>
  <c r="L30" i="2" s="1"/>
  <c r="E30" i="2"/>
  <c r="F30" i="2"/>
  <c r="E31" i="2"/>
  <c r="F31" i="2"/>
  <c r="B32" i="2"/>
  <c r="E32" i="2"/>
  <c r="F32" i="2"/>
  <c r="B33" i="2"/>
  <c r="E33" i="2"/>
  <c r="F33" i="2"/>
  <c r="E34" i="2"/>
  <c r="F34" i="2"/>
  <c r="B35" i="2"/>
  <c r="E35" i="2"/>
  <c r="F35" i="2"/>
  <c r="B36" i="2"/>
  <c r="E36" i="2"/>
  <c r="F36" i="2"/>
  <c r="B37" i="2"/>
  <c r="E37" i="2"/>
  <c r="F37" i="2"/>
  <c r="B38" i="2"/>
  <c r="E38" i="2"/>
  <c r="F38" i="2"/>
  <c r="B39" i="2"/>
  <c r="E39" i="2"/>
  <c r="F39" i="2"/>
  <c r="B40" i="2"/>
  <c r="E40" i="2"/>
  <c r="F40" i="2"/>
  <c r="B41" i="2"/>
  <c r="L41" i="2" s="1" a="1"/>
  <c r="L41" i="2" s="1"/>
  <c r="E41" i="2"/>
  <c r="F41" i="2"/>
  <c r="B42" i="2"/>
  <c r="K42" i="2" s="1" a="1"/>
  <c r="K42" i="2" s="1"/>
  <c r="M42" i="2" s="1"/>
  <c r="E42" i="2"/>
  <c r="F42" i="2"/>
  <c r="B43" i="2"/>
  <c r="E43" i="2"/>
  <c r="F43" i="2"/>
  <c r="B44" i="2"/>
  <c r="E44" i="2"/>
  <c r="F44" i="2"/>
  <c r="B45" i="2"/>
  <c r="E45" i="2"/>
  <c r="F45" i="2"/>
  <c r="B46" i="2"/>
  <c r="J46" i="2" s="1" a="1"/>
  <c r="J46" i="2" s="1"/>
  <c r="E46" i="2"/>
  <c r="F46" i="2"/>
  <c r="B47" i="2"/>
  <c r="L47" i="2" s="1" a="1"/>
  <c r="L47" i="2" s="1"/>
  <c r="E47" i="2"/>
  <c r="F47" i="2"/>
  <c r="B48" i="2"/>
  <c r="E48" i="2"/>
  <c r="F48" i="2"/>
  <c r="E49" i="2"/>
  <c r="F49" i="2"/>
  <c r="E50" i="2"/>
  <c r="F50" i="2"/>
  <c r="E51" i="2"/>
  <c r="F51" i="2"/>
  <c r="E52" i="2"/>
  <c r="F52" i="2"/>
  <c r="E53" i="2"/>
  <c r="F53" i="2"/>
  <c r="E54" i="2"/>
  <c r="F54" i="2"/>
  <c r="E55" i="2"/>
  <c r="F55" i="2"/>
  <c r="E56" i="2"/>
  <c r="F56" i="2"/>
  <c r="E57" i="2"/>
  <c r="F57" i="2"/>
  <c r="E58" i="2"/>
  <c r="F58" i="2"/>
  <c r="E59" i="2"/>
  <c r="F59" i="2"/>
  <c r="J55" i="2" a="1"/>
  <c r="J55" i="2" s="1"/>
  <c r="L50" i="2" a="1"/>
  <c r="L50" i="2" s="1"/>
  <c r="K44" i="2" a="1"/>
  <c r="K44" i="2" s="1"/>
  <c r="M44" i="2" s="1"/>
  <c r="K39" i="2" a="1"/>
  <c r="K39" i="2" s="1"/>
  <c r="M39" i="2" s="1"/>
  <c r="L34" i="2" a="1"/>
  <c r="L34" i="2" s="1"/>
  <c r="L28" i="2" a="1"/>
  <c r="L28" i="2" s="1"/>
  <c r="J23" i="2" a="1"/>
  <c r="J23" i="2" s="1"/>
  <c r="L15" i="2" a="1"/>
  <c r="L15" i="2" s="1"/>
  <c r="J12" i="2" a="1"/>
  <c r="J12" i="2" s="1"/>
  <c r="M8" i="2"/>
  <c r="L31" i="2" a="1"/>
  <c r="L31" i="2" s="1"/>
  <c r="L32" i="2" a="1"/>
  <c r="L32" i="2" s="1"/>
  <c r="L33" i="2" a="1"/>
  <c r="L33" i="2" s="1"/>
  <c r="L35" i="2" a="1"/>
  <c r="L35" i="2" s="1"/>
  <c r="L36" i="2" a="1"/>
  <c r="L36" i="2" s="1"/>
  <c r="L37" i="2" a="1"/>
  <c r="L37" i="2" s="1"/>
  <c r="L38" i="2" a="1"/>
  <c r="L38" i="2" s="1"/>
  <c r="L40" i="2" a="1"/>
  <c r="L40" i="2" s="1"/>
  <c r="L43" i="2" a="1"/>
  <c r="L43" i="2" s="1"/>
  <c r="L45" i="2" a="1"/>
  <c r="L45" i="2" s="1"/>
  <c r="L48" i="2" a="1"/>
  <c r="L48" i="2" s="1"/>
  <c r="L49" i="2" a="1"/>
  <c r="L49" i="2" s="1"/>
  <c r="L51" i="2" a="1"/>
  <c r="L51" i="2" s="1"/>
  <c r="L52" i="2" a="1"/>
  <c r="L52" i="2" s="1"/>
  <c r="L53" i="2" a="1"/>
  <c r="L53" i="2" s="1"/>
  <c r="L54" i="2" a="1"/>
  <c r="L54" i="2" s="1"/>
  <c r="L56" i="2" a="1"/>
  <c r="L56" i="2" s="1"/>
  <c r="L57" i="2" a="1"/>
  <c r="L57" i="2" s="1"/>
  <c r="N57" i="2" s="1"/>
  <c r="O57" i="2" s="1"/>
  <c r="L58" i="2" a="1"/>
  <c r="L58" i="2" s="1"/>
  <c r="L59" i="2" a="1"/>
  <c r="L59" i="2" s="1"/>
  <c r="L9" i="2" a="1"/>
  <c r="L9" i="2" s="1"/>
  <c r="L10" i="2" a="1"/>
  <c r="L10" i="2" s="1"/>
  <c r="L11" i="2" a="1"/>
  <c r="L11" i="2" s="1"/>
  <c r="N11" i="2" s="1"/>
  <c r="O11" i="2" s="1"/>
  <c r="L13" i="2" a="1"/>
  <c r="L13" i="2" s="1"/>
  <c r="L16" i="2" a="1"/>
  <c r="L16" i="2" s="1"/>
  <c r="L17" i="2" a="1"/>
  <c r="L17" i="2" s="1"/>
  <c r="L20" i="2" a="1"/>
  <c r="L20" i="2" s="1"/>
  <c r="L21" i="2" a="1"/>
  <c r="L21" i="2" s="1"/>
  <c r="L22" i="2" a="1"/>
  <c r="L22" i="2" s="1"/>
  <c r="L26" i="2" a="1"/>
  <c r="L26" i="2" s="1"/>
  <c r="L27" i="2" a="1"/>
  <c r="L27" i="2" s="1"/>
  <c r="L8" i="2" a="1"/>
  <c r="L8" i="2" s="1"/>
  <c r="O8" i="2" s="1"/>
  <c r="K49" i="2" a="1"/>
  <c r="K49" i="2" s="1"/>
  <c r="M49" i="2" s="1"/>
  <c r="K51" i="2" a="1"/>
  <c r="K51" i="2" s="1"/>
  <c r="M51" i="2" s="1"/>
  <c r="K52" i="2" a="1"/>
  <c r="K52" i="2" s="1"/>
  <c r="M52" i="2" s="1"/>
  <c r="K53" i="2" a="1"/>
  <c r="K53" i="2" s="1"/>
  <c r="M53" i="2" s="1"/>
  <c r="K54" i="2" a="1"/>
  <c r="K54" i="2" s="1"/>
  <c r="M54" i="2" s="1"/>
  <c r="K56" i="2" a="1"/>
  <c r="K56" i="2" s="1"/>
  <c r="M56" i="2" s="1"/>
  <c r="K57" i="2" a="1"/>
  <c r="K57" i="2" s="1"/>
  <c r="M57" i="2" s="1"/>
  <c r="K58" i="2" a="1"/>
  <c r="K58" i="2" s="1"/>
  <c r="M58" i="2" s="1"/>
  <c r="K59" i="2" a="1"/>
  <c r="K59" i="2" s="1"/>
  <c r="M59" i="2" s="1"/>
  <c r="K11" i="2" a="1"/>
  <c r="K11" i="2" s="1"/>
  <c r="M11" i="2" s="1"/>
  <c r="K22" i="2" a="1"/>
  <c r="K22" i="2" s="1"/>
  <c r="M22" i="2" s="1"/>
  <c r="K23" i="2" a="1"/>
  <c r="K23" i="2" s="1"/>
  <c r="M23" i="2" s="1"/>
  <c r="K31" i="2" a="1"/>
  <c r="K31" i="2" s="1"/>
  <c r="M31" i="2" s="1"/>
  <c r="J49" i="2" a="1"/>
  <c r="J49" i="2" s="1"/>
  <c r="J51" i="2" a="1"/>
  <c r="J51" i="2" s="1"/>
  <c r="J53" i="2" a="1"/>
  <c r="J53" i="2" s="1"/>
  <c r="J54" i="2" a="1"/>
  <c r="J54" i="2" s="1"/>
  <c r="J56" i="2" a="1"/>
  <c r="J56" i="2" s="1"/>
  <c r="J57" i="2" a="1"/>
  <c r="J57" i="2" s="1"/>
  <c r="J58" i="2" a="1"/>
  <c r="J58" i="2" s="1"/>
  <c r="J59" i="2" a="1"/>
  <c r="J59" i="2" s="1"/>
  <c r="J11" i="2" a="1"/>
  <c r="J11" i="2" s="1"/>
  <c r="J22" i="2" a="1"/>
  <c r="J22" i="2" s="1"/>
  <c r="J31" i="2" a="1"/>
  <c r="J31" i="2" s="1"/>
  <c r="K38" i="2" a="1"/>
  <c r="K38" i="2" s="1"/>
  <c r="M38" i="2" s="1"/>
  <c r="K40" i="2" a="1"/>
  <c r="K40" i="2" s="1"/>
  <c r="M40" i="2" s="1"/>
  <c r="K41" i="2" a="1"/>
  <c r="K41" i="2" s="1"/>
  <c r="M41" i="2" s="1"/>
  <c r="J43" i="2" a="1"/>
  <c r="J43" i="2" s="1"/>
  <c r="J45" i="2" a="1"/>
  <c r="J45" i="2" s="1"/>
  <c r="J48" i="2" a="1"/>
  <c r="J48" i="2" s="1"/>
  <c r="J37" i="2" a="1"/>
  <c r="J37" i="2" s="1"/>
  <c r="J36" i="2" a="1"/>
  <c r="J36" i="2" s="1"/>
  <c r="J35" i="2" a="1"/>
  <c r="J35" i="2" s="1"/>
  <c r="J33" i="2" a="1"/>
  <c r="J33" i="2" s="1"/>
  <c r="K32" i="2" a="1"/>
  <c r="K32" i="2" s="1"/>
  <c r="M32" i="2" s="1"/>
  <c r="J26" i="2" a="1"/>
  <c r="J26" i="2" s="1"/>
  <c r="K27" i="2" a="1"/>
  <c r="K27" i="2" s="1"/>
  <c r="M27" i="2" s="1"/>
  <c r="J29" i="2" a="1"/>
  <c r="J29" i="2" s="1"/>
  <c r="J30" i="2" a="1"/>
  <c r="J30" i="2" s="1"/>
  <c r="K13" i="2" a="1"/>
  <c r="K13" i="2" s="1"/>
  <c r="M13" i="2" s="1"/>
  <c r="K15" i="2" a="1"/>
  <c r="K15" i="2" s="1"/>
  <c r="M15" i="2" s="1"/>
  <c r="K16" i="2" a="1"/>
  <c r="K16" i="2" s="1"/>
  <c r="M16" i="2" s="1"/>
  <c r="K17" i="2" a="1"/>
  <c r="K17" i="2" s="1"/>
  <c r="M17" i="2" s="1"/>
  <c r="K20" i="2" a="1"/>
  <c r="K20" i="2" s="1"/>
  <c r="M20" i="2" s="1"/>
  <c r="K21" i="2" a="1"/>
  <c r="K21" i="2" s="1"/>
  <c r="M21" i="2" s="1"/>
  <c r="J9" i="2" a="1"/>
  <c r="J9" i="2" s="1"/>
  <c r="J10" i="2" a="1"/>
  <c r="J10" i="2" s="1"/>
  <c r="B8" i="2"/>
  <c r="N41" i="2" l="1"/>
  <c r="O41" i="2" s="1"/>
  <c r="J47" i="2" a="1"/>
  <c r="J47" i="2" s="1"/>
  <c r="K14" i="2" a="1"/>
  <c r="K14" i="2" s="1"/>
  <c r="M14" i="2" s="1"/>
  <c r="N14" i="2" s="1"/>
  <c r="O14" i="2" s="1"/>
  <c r="L25" i="2" a="1"/>
  <c r="L25" i="2" s="1"/>
  <c r="N20" i="2"/>
  <c r="O20" i="2" s="1"/>
  <c r="N59" i="2"/>
  <c r="O59" i="2" s="1"/>
  <c r="L19" i="2" a="1"/>
  <c r="L19" i="2" s="1"/>
  <c r="N49" i="2"/>
  <c r="O49" i="2" s="1"/>
  <c r="N58" i="2"/>
  <c r="O58" i="2" s="1"/>
  <c r="L46" i="2" a="1"/>
  <c r="L46" i="2" s="1"/>
  <c r="N21" i="2"/>
  <c r="O21" i="2" s="1"/>
  <c r="N32" i="2"/>
  <c r="O32" i="2" s="1"/>
  <c r="N17" i="2"/>
  <c r="O17" i="2" s="1"/>
  <c r="N13" i="2"/>
  <c r="O13" i="2" s="1"/>
  <c r="L42" i="2" a="1"/>
  <c r="L42" i="2" s="1"/>
  <c r="N42" i="2" s="1"/>
  <c r="O42" i="2" s="1"/>
  <c r="K18" i="2" a="1"/>
  <c r="K18" i="2" s="1"/>
  <c r="M18" i="2" s="1"/>
  <c r="N18" i="2" s="1"/>
  <c r="O18" i="2" s="1"/>
  <c r="N31" i="2"/>
  <c r="O31" i="2" s="1"/>
  <c r="N40" i="2"/>
  <c r="O40" i="2" s="1"/>
  <c r="N27" i="2"/>
  <c r="O27" i="2" s="1"/>
  <c r="N38" i="2"/>
  <c r="O38" i="2" s="1"/>
  <c r="K24" i="2" a="1"/>
  <c r="K24" i="2" s="1"/>
  <c r="M24" i="2" s="1"/>
  <c r="N24" i="2" s="1"/>
  <c r="O24" i="2" s="1"/>
  <c r="N56" i="2"/>
  <c r="O56" i="2" s="1"/>
  <c r="N16" i="2"/>
  <c r="O16" i="2" s="1"/>
  <c r="N54" i="2"/>
  <c r="O54" i="2" s="1"/>
  <c r="N15" i="2"/>
  <c r="O15" i="2" s="1"/>
  <c r="N22" i="2"/>
  <c r="O22" i="2" s="1"/>
  <c r="N53" i="2"/>
  <c r="O53" i="2" s="1"/>
  <c r="N51" i="2"/>
  <c r="O51" i="2" s="1"/>
  <c r="N52" i="2"/>
  <c r="O52" i="2" s="1"/>
  <c r="N19" i="2"/>
  <c r="O19" i="2" s="1"/>
  <c r="L44" i="2" a="1"/>
  <c r="L44" i="2" s="1"/>
  <c r="N44" i="2" s="1"/>
  <c r="O44" i="2" s="1"/>
  <c r="L23" i="2" a="1"/>
  <c r="L23" i="2" s="1"/>
  <c r="N23" i="2" s="1"/>
  <c r="O23" i="2" s="1"/>
  <c r="K55" i="2" a="1"/>
  <c r="K55" i="2" s="1"/>
  <c r="M55" i="2" s="1"/>
  <c r="L12" i="2" a="1"/>
  <c r="L12" i="2" s="1"/>
  <c r="L55" i="2" a="1"/>
  <c r="L55" i="2" s="1"/>
  <c r="N55" i="2" s="1"/>
  <c r="O55" i="2" s="1"/>
  <c r="L39" i="2" a="1"/>
  <c r="L39" i="2" s="1"/>
  <c r="N39" i="2" s="1"/>
  <c r="O39" i="2" s="1"/>
  <c r="K28" i="2" a="1"/>
  <c r="K28" i="2" s="1"/>
  <c r="M28" i="2" s="1"/>
  <c r="N28" i="2" s="1"/>
  <c r="O28" i="2" s="1"/>
  <c r="J50" i="2" a="1"/>
  <c r="J50" i="2" s="1"/>
  <c r="K50" i="2" a="1"/>
  <c r="K50" i="2" s="1"/>
  <c r="M50" i="2" s="1"/>
  <c r="N50" i="2" s="1"/>
  <c r="O50" i="2" s="1"/>
  <c r="J34" i="2" a="1"/>
  <c r="J34" i="2" s="1"/>
  <c r="K34" i="2" a="1"/>
  <c r="K34" i="2" s="1"/>
  <c r="M34" i="2" s="1"/>
  <c r="N34" i="2" s="1"/>
  <c r="O34" i="2" s="1"/>
  <c r="K10" i="2" a="1"/>
  <c r="K10" i="2" s="1"/>
  <c r="M10" i="2" s="1"/>
  <c r="N10" i="2" s="1"/>
  <c r="O10" i="2" s="1"/>
  <c r="J21" i="2" a="1"/>
  <c r="J21" i="2" s="1"/>
  <c r="J20" i="2" a="1"/>
  <c r="J20" i="2" s="1"/>
  <c r="J16" i="2" a="1"/>
  <c r="J16" i="2" s="1"/>
  <c r="J15" i="2" a="1"/>
  <c r="J15" i="2" s="1"/>
  <c r="J32" i="2" a="1"/>
  <c r="J32" i="2" s="1"/>
  <c r="J14" i="2" a="1"/>
  <c r="J14" i="2" s="1"/>
  <c r="K37" i="2" a="1"/>
  <c r="K37" i="2" s="1"/>
  <c r="M37" i="2" s="1"/>
  <c r="N37" i="2" s="1"/>
  <c r="O37" i="2" s="1"/>
  <c r="J13" i="2" a="1"/>
  <c r="J13" i="2" s="1"/>
  <c r="K8" i="2" a="1"/>
  <c r="K8" i="2" s="1"/>
  <c r="K36" i="2" a="1"/>
  <c r="K36" i="2" s="1"/>
  <c r="M36" i="2" s="1"/>
  <c r="N36" i="2" s="1"/>
  <c r="O36" i="2" s="1"/>
  <c r="K35" i="2" a="1"/>
  <c r="K35" i="2" s="1"/>
  <c r="M35" i="2" s="1"/>
  <c r="N35" i="2" s="1"/>
  <c r="O35" i="2" s="1"/>
  <c r="J24" i="2" a="1"/>
  <c r="J24" i="2" s="1"/>
  <c r="K26" i="2" a="1"/>
  <c r="K26" i="2" s="1"/>
  <c r="M26" i="2" s="1"/>
  <c r="N26" i="2" s="1"/>
  <c r="O26" i="2" s="1"/>
  <c r="J44" i="2" a="1"/>
  <c r="J44" i="2" s="1"/>
  <c r="K25" i="2" a="1"/>
  <c r="K25" i="2" s="1"/>
  <c r="M25" i="2" s="1"/>
  <c r="K48" i="2" a="1"/>
  <c r="K48" i="2" s="1"/>
  <c r="M48" i="2" s="1"/>
  <c r="N48" i="2" s="1"/>
  <c r="O48" i="2" s="1"/>
  <c r="K47" i="2" a="1"/>
  <c r="K47" i="2" s="1"/>
  <c r="M47" i="2" s="1"/>
  <c r="N47" i="2" s="1"/>
  <c r="O47" i="2" s="1"/>
  <c r="J18" i="2" a="1"/>
  <c r="J18" i="2" s="1"/>
  <c r="K12" i="2" a="1"/>
  <c r="K12" i="2" s="1"/>
  <c r="M12" i="2" s="1"/>
  <c r="K46" i="2" a="1"/>
  <c r="K46" i="2" s="1"/>
  <c r="M46" i="2" s="1"/>
  <c r="J19" i="2" a="1"/>
  <c r="J19" i="2" s="1"/>
  <c r="J17" i="2" a="1"/>
  <c r="J17" i="2" s="1"/>
  <c r="K45" i="2" a="1"/>
  <c r="K45" i="2" s="1"/>
  <c r="M45" i="2" s="1"/>
  <c r="N45" i="2" s="1"/>
  <c r="O45" i="2" s="1"/>
  <c r="J42" i="2" a="1"/>
  <c r="J42" i="2" s="1"/>
  <c r="K9" i="2" a="1"/>
  <c r="K9" i="2" s="1"/>
  <c r="M9" i="2" s="1"/>
  <c r="N9" i="2" s="1"/>
  <c r="O9" i="2" s="1"/>
  <c r="J40" i="2" a="1"/>
  <c r="J40" i="2" s="1"/>
  <c r="J39" i="2" a="1"/>
  <c r="J39" i="2" s="1"/>
  <c r="K43" i="2" a="1"/>
  <c r="K43" i="2" s="1"/>
  <c r="M43" i="2" s="1"/>
  <c r="N43" i="2" s="1"/>
  <c r="O43" i="2" s="1"/>
  <c r="J41" i="2" a="1"/>
  <c r="J41" i="2" s="1"/>
  <c r="J38" i="2" a="1"/>
  <c r="J38" i="2" s="1"/>
  <c r="K33" i="2" a="1"/>
  <c r="K33" i="2" s="1"/>
  <c r="M33" i="2" s="1"/>
  <c r="N33" i="2" s="1"/>
  <c r="O33" i="2" s="1"/>
  <c r="J27" i="2" a="1"/>
  <c r="J27" i="2" s="1"/>
  <c r="K30" i="2" a="1"/>
  <c r="K30" i="2" s="1"/>
  <c r="M30" i="2" s="1"/>
  <c r="N30" i="2" s="1"/>
  <c r="O30" i="2" s="1"/>
  <c r="J28" i="2" a="1"/>
  <c r="J28" i="2" s="1"/>
  <c r="K29" i="2" a="1"/>
  <c r="K29" i="2" s="1"/>
  <c r="M29" i="2" s="1"/>
  <c r="N29" i="2" s="1"/>
  <c r="O29" i="2" s="1"/>
  <c r="J8" i="2" a="1"/>
  <c r="J8" i="2" s="1"/>
  <c r="N25" i="2" l="1"/>
  <c r="O25" i="2" s="1"/>
  <c r="N12" i="2"/>
  <c r="O12" i="2" s="1"/>
  <c r="N46" i="2"/>
  <c r="O46" i="2" s="1"/>
  <c r="O63" i="2"/>
  <c r="O62" i="2"/>
  <c r="B1" i="3"/>
  <c r="B7" i="2"/>
  <c r="Q62" i="2" s="1" a="1"/>
  <c r="Q62" i="2" s="1"/>
  <c r="F8" i="2"/>
  <c r="E8" i="2"/>
  <c r="P36" i="2" l="1"/>
  <c r="P14" i="2"/>
  <c r="P47" i="2"/>
  <c r="P22" i="2"/>
  <c r="P35" i="2"/>
  <c r="P26" i="2"/>
  <c r="P55" i="2"/>
  <c r="P43" i="2"/>
  <c r="P33" i="2"/>
  <c r="P45" i="2"/>
  <c r="P52" i="2"/>
  <c r="P51" i="2"/>
  <c r="P30" i="2"/>
  <c r="P53" i="2"/>
  <c r="P8" i="2"/>
  <c r="P13" i="2"/>
  <c r="P38" i="2"/>
  <c r="P31" i="2"/>
  <c r="P49" i="2"/>
  <c r="P20" i="2"/>
  <c r="P15" i="2"/>
  <c r="P41" i="2"/>
  <c r="P58" i="2"/>
  <c r="P59" i="2"/>
  <c r="P40" i="2"/>
  <c r="P32" i="2"/>
  <c r="P21" i="2"/>
  <c r="P17" i="2"/>
  <c r="P16" i="2"/>
  <c r="P42" i="2"/>
  <c r="P11" i="2"/>
  <c r="P27" i="2"/>
  <c r="P54" i="2"/>
  <c r="P24" i="2"/>
  <c r="P18" i="2"/>
  <c r="P56" i="2"/>
  <c r="P57" i="2"/>
  <c r="P9" i="2"/>
  <c r="P44" i="2"/>
  <c r="P28" i="2"/>
  <c r="P23" i="2"/>
  <c r="P50" i="2"/>
  <c r="P48" i="2"/>
  <c r="P39" i="2"/>
  <c r="P25" i="2"/>
  <c r="P29" i="2"/>
  <c r="P34" i="2"/>
  <c r="P37" i="2"/>
  <c r="P19" i="2"/>
  <c r="P10" i="2"/>
  <c r="P12" i="2"/>
  <c r="P46" i="2"/>
  <c r="G73" i="1"/>
  <c r="G72" i="1"/>
  <c r="G71" i="1"/>
  <c r="G70" i="1"/>
  <c r="G69" i="1"/>
  <c r="G68" i="1"/>
  <c r="G67" i="1"/>
  <c r="G66" i="1"/>
  <c r="G65" i="1"/>
  <c r="G64" i="1"/>
  <c r="G63" i="1"/>
  <c r="G62" i="1"/>
  <c r="G61" i="1"/>
  <c r="G60" i="1"/>
  <c r="G59" i="1"/>
  <c r="F60" i="1"/>
  <c r="F58" i="1"/>
  <c r="G58" i="1"/>
  <c r="G57" i="1"/>
  <c r="G56" i="1"/>
  <c r="F55" i="1"/>
  <c r="G55" i="1"/>
  <c r="G54" i="1"/>
  <c r="G53" i="1"/>
  <c r="G52" i="1"/>
  <c r="G51" i="1"/>
  <c r="G50" i="1"/>
  <c r="G49" i="1"/>
  <c r="G47" i="1"/>
  <c r="G46" i="1"/>
  <c r="G45" i="1"/>
  <c r="G44" i="1"/>
  <c r="G43" i="1"/>
  <c r="G42" i="1"/>
  <c r="G41" i="1"/>
  <c r="G40" i="1"/>
  <c r="G39" i="1"/>
  <c r="F57" i="1"/>
  <c r="F61" i="1"/>
  <c r="F62" i="1"/>
  <c r="F63" i="1"/>
  <c r="F71" i="1"/>
  <c r="F70" i="1"/>
  <c r="F69" i="1"/>
  <c r="F68" i="1"/>
  <c r="F65" i="1"/>
  <c r="F64" i="1"/>
  <c r="F67" i="1"/>
  <c r="F66" i="1"/>
  <c r="F72" i="1"/>
  <c r="F73" i="1"/>
  <c r="F53" i="1"/>
  <c r="F54" i="1"/>
  <c r="F52" i="1"/>
  <c r="F51" i="1"/>
  <c r="F50" i="1"/>
  <c r="F47" i="1"/>
  <c r="F44" i="1"/>
  <c r="F43" i="1"/>
  <c r="F42" i="1"/>
  <c r="F49" i="1"/>
  <c r="F48" i="1"/>
  <c r="F46" i="1"/>
  <c r="F45" i="1"/>
  <c r="F41" i="1"/>
  <c r="F40" i="1"/>
  <c r="F39" i="1"/>
  <c r="F5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<sst xmlns="http://schemas.openxmlformats.org/spreadsheetml/2006/main" count="2556" uniqueCount="282">
  <si>
    <t>Version A Question</t>
  </si>
  <si>
    <t>Version A Content (Short Description)</t>
  </si>
  <si>
    <t>Version B Question</t>
  </si>
  <si>
    <t>Order of strength of intermolecular forces (H-B&gt;D-D&gt;LDF)</t>
  </si>
  <si>
    <t>Mass of sulfur, units for "10.0" (g)</t>
  </si>
  <si>
    <t>Change in enthalpy when a substance is boiled (ΔHvap​)</t>
  </si>
  <si>
    <t>Type of matter with definite volume and definite shape (solid)</t>
  </si>
  <si>
    <t>Heat energy transferred to Cd metal (q=m×c×ΔT)</t>
  </si>
  <si>
    <t>Characteristics of a Type II ion (transition metal, multiple charge states, uses Roman numeral)</t>
  </si>
  <si>
    <t>Step to complete Lewis structure of (CO3​)2− (create double bond) (NOTE: Question text has error, uses NO3−​ and central N/C atom)</t>
  </si>
  <si>
    <t>Molar mass of MgSO4​⋅7H2​O (246.5 g/mol)</t>
  </si>
  <si>
    <t>Mass percentage of water in hydrate MgSO4​⋅7H2​O (51.16%)</t>
  </si>
  <si>
    <t>Total valence electrons for NO2−​ ion (18)</t>
  </si>
  <si>
    <t>Number of electrons in an octet (8)</t>
  </si>
  <si>
    <t>False statement about NO2−​ Lewis structure (Central N has no lone pairs)</t>
  </si>
  <si>
    <t>Molecular geometry of NH3​ (trigonal pyramidal)</t>
  </si>
  <si>
    <t>Bond type for C-H (nonpolar covalent)</t>
  </si>
  <si>
    <t>Class of solid for ice, dry ice, and I2​ (molecular)</t>
  </si>
  <si>
    <t>1∘C on the Kelvin scale (274 K)</t>
  </si>
  <si>
    <t>Bond type for Cs and F (ionic)</t>
  </si>
  <si>
    <t>Moles of compound equal to 2×Avogadro’s Number (2 mol)</t>
  </si>
  <si>
    <t>Laboratory procedure to find empirical formula (elemental analysis)</t>
  </si>
  <si>
    <t>Intermolecular force with permanent partial charges (dipole-dipole interaction)</t>
  </si>
  <si>
    <t>Correct name for Fe2​O3​ (iron(III) oxide)</t>
  </si>
  <si>
    <t>Molecular formula for dinitrogen tetrachloride (N2​Cl4​) (NOTE: N2​Cl2​ is a common error/typo in the options)</t>
  </si>
  <si>
    <t>Grams of Ca in 6.022×1023 atoms (40.08 g)</t>
  </si>
  <si>
    <t>Group 2 elements (Ca and Mg)</t>
  </si>
  <si>
    <t>True characteristic of H2​O (electronegativity difference enables H-bonding)</t>
  </si>
  <si>
    <t>1 mol of Na and 1 mol of K are equal numbers of atoms (true)</t>
  </si>
  <si>
    <t>Kinetic energy is determined by motion/velocity (true)</t>
  </si>
  <si>
    <t>VSEPR explains nonbonding electron pairs affecting geometry (true)</t>
  </si>
  <si>
    <t>Burning of gasoline is endothermic (false, it's exothermic)</t>
  </si>
  <si>
    <t>2.0 mol of H2​ is 6.022×1023 molecules of H2​ (false, it's 2×Avogadro’s Number)</t>
  </si>
  <si>
    <t>Beryllium molar mass is 9.012g/mol (true)</t>
  </si>
  <si>
    <t>More molecules in 0.50 mol CO2​ than in 0.50 mol SO2​ (false, same number of molecules)</t>
  </si>
  <si>
    <t>Formula unit is a dimension of mass in grams (false)</t>
  </si>
  <si>
    <t>LDF describes a temporary, instantaneous induced dipole (true)</t>
  </si>
  <si>
    <t>Cesium chloride formula is Cs2​Cl (false, it's CsCl)</t>
  </si>
  <si>
    <t>Cesium (Cs) is Group 1 (+1 charge) and Chloride (Cl) is Group 17 (−1 charge). They combine in a 1:1 ratio to form the ionic compound CsCl. The formula Cs2​Cl is incorrect.</t>
  </si>
  <si>
    <t>b) false</t>
  </si>
  <si>
    <t xml:space="preserve">London Dispersion Forces (LDF) are the weakest intermolecular forces and arise from the temporary, instantaneous, and uneven distribution of electrons, which creates a momentary (or induced) dipole. </t>
  </si>
  <si>
    <t>a) true</t>
  </si>
  <si>
    <t xml:space="preserve">A formula unit is the basic, neutral grouping of ions in an ionic compound (a concept), not a unit of mass. Mass is measured in grams (g). </t>
  </si>
  <si>
    <t>Equal moles of any two substances contain an equal number of molecules (Avogadro's Law). 0.50 mol of CO2​ has the exact same number of molecules as 0.50 mol of SO2​.</t>
  </si>
  <si>
    <t>The accepted average atomic mass (molar mass) of Beryllium (Be) on the periodic table is approximately 9.012 g/mol.</t>
  </si>
  <si>
    <t>2.0 moles of H2​ molecules is 2.0×(6.022×1023) molecules. 6.022×1023 molecules is only 1.0 mole.</t>
  </si>
  <si>
    <t xml:space="preserve">The burning of gasoline releases heat and is therefore an exothermic process, not an endothermic one. </t>
  </si>
  <si>
    <t xml:space="preserve">Valence Shell Electron Pair Repulsion (VSEPR) theory is based on the idea that both bonding and nonbonding (lone) pairs of electrons repel each other and arrange themselves in space to minimize this repulsion, which determines the molecular geometry. </t>
  </si>
  <si>
    <t>Kinetic energy is the energy of motion and is mathematically related to mass and velocity (KE=21​mv2).</t>
  </si>
  <si>
    <t xml:space="preserve">One mole of any element or compound contains the exact same number of particles: Avogadro's Number (6.022×1023). Therefore, 1 mol of Na atoms and 1 mol of K atoms contain the equal numbers of atoms. </t>
  </si>
  <si>
    <t xml:space="preserve">Hydrogen bonding is a special, strong dipole-dipole force enabled by the large electronegativity difference between H and highly electronegative atoms like O, N, or F. </t>
  </si>
  <si>
    <t>b) The difference in electronegativity between O and H atoms enables hydrogen bonding</t>
  </si>
  <si>
    <t>Group 2 elements are the alkaline earth metals. Both Calcium (Ca) and Magnesium (Mg)  are in Group 2. Sodium (Na) is in Group 1.</t>
  </si>
  <si>
    <t>d) both (b) and (c)</t>
  </si>
  <si>
    <t xml:space="preserve">The molar mass of calcium (Ca) is 40.08 g/mol. Since 6.022×1023 atoms is the definition of 1 mole, then 1 mol of Ca has a mass equal to its molar mass. </t>
  </si>
  <si>
    <t>c) 40.08 g</t>
  </si>
  <si>
    <t>The prefix "dinitrogen" means 2 nitrogen atoms (N2​). The prefix "tetrachloride" means 4 chlorine atoms (Cl4​). The correct formula should be N2​Cl4​. Since this is not an option, and N2​Cl2​ is listed as an option, this suggests a likely typo in the question or options. Assuming the question meant dinitrogen dichloride, the answer would be N2​Cl2​. If the question name is strictly correct (N2​Cl4​), a correct option is missing. Given the choices, b) N2​Cl2​ is the most plausible intended answer structure if an error occurred in either the name or options.</t>
  </si>
  <si>
    <t xml:space="preserve">Oxygen always has a charge of −2. The total negative charge is 3×(−2)=−6. To balance this, the two iron (Fe) atoms must have a total charge of +6, so each Fe must be Fe3+. This is named iron(III) oxide. </t>
  </si>
  <si>
    <t>c) iron(III) oxide</t>
  </si>
  <si>
    <t xml:space="preserve">A dipole-dipole interaction is an electrostatic force between molecules that have a permanent partial positive charge (δ+) on one end and a partial negative charge (δ−) on the other, meaning they have a permanent dipole moment. </t>
  </si>
  <si>
    <t>d) dipole-dipole interaction</t>
  </si>
  <si>
    <t xml:space="preserve">Elemental analysis is the laboratory procedure used to determine the mass percent of each element in a compound, which is the key information needed to calculate the empirical formula. </t>
  </si>
  <si>
    <t>b) elemental analysis</t>
  </si>
  <si>
    <t xml:space="preserve">Avogadro's Number (6.022×1023) is defined as the number of particles in one mole. If you have two (2) times Avogadro's Number of particles, you have 2 moles. </t>
  </si>
  <si>
    <t>b) 2 mol</t>
  </si>
  <si>
    <t>The largest difference in electronegativity  (like between the metal Cs and the nonmetal F) results in a transfer of electrons and the formation of an ionic bond.</t>
  </si>
  <si>
    <t>a) ionic</t>
  </si>
  <si>
    <t>c) 274 K</t>
  </si>
  <si>
    <t xml:space="preserve">H2​O (ice), CO2​ (dry ice), and I2​ are all formed from distinct, neutral molecules held together by intermolecular forces (H-bonding, LDF). This makes them molecular solids. </t>
  </si>
  <si>
    <t>d) molecular</t>
  </si>
  <si>
    <t xml:space="preserve">A very little difference in electronegativity between atoms results in an even sharing of electrons, forming a nonpolar covalent bond. </t>
  </si>
  <si>
    <t>c) (nonpolar) covalent</t>
  </si>
  <si>
    <t>NH3​ has a central N atom with three bonding pairs (to H atoms) and one nonbonding (lone) pair of electrons. This AX3​E configuration results in a trigonal pyramidal molecular geometry.</t>
  </si>
  <si>
    <t>c) trigonal pyramidal</t>
  </si>
  <si>
    <t xml:space="preserve">The Lewis structure for NO2−​ shown in the text (though incorrectly drawn as [:O−N=O:]−) or the correct resonance structure [O¨=N¨−O¨:]− both show the central Nitrogen atom with one nonbonding (lone) pair of electrons. Therefore, the statement that it has no lone pairs is FALSE. </t>
  </si>
  <si>
    <t>c) The central atom nitrogen has no nonbonding (lone) pairs of electrons</t>
  </si>
  <si>
    <t xml:space="preserve">A stable electron configuration, or octet, means the atom is surrounded by 8 valence electrons. </t>
  </si>
  <si>
    <t>e) 8</t>
  </si>
  <si>
    <t>The total number of valence electrons for the NO2−​ ion  is: Nitrogen (Group 15) has 5 e−. Oxygen (Group 16) has 6 e−. Charge (-1) adds 1 e−. 5+(2×6)+1=∗∗18∗∗ valence electrons.</t>
  </si>
  <si>
    <t>d) 18</t>
  </si>
  <si>
    <t>c) 51.16%</t>
  </si>
  <si>
    <t>The molar mass of MgSO4​⋅7H2​O is calculated by summing the molar masses: Mg+S+(4×O)+7×[(2×H)+O]. 24.31+32.07+(4×16.00)+7×(18.02)≈246.5 g/mol.</t>
  </si>
  <si>
    <t>c) 246.5 g/mol</t>
  </si>
  <si>
    <t xml:space="preserve">To complete the octet on the central atom when no electrons are left in the inventory, you must form a double bond using one of the lone pairs from a terminal atom. (Note: The question is confusingly written, referring to the NO3−​ ion but calling the central atom "carbon (N)"). </t>
  </si>
  <si>
    <t>c) A lone pair from one of the oxygen (O) atoms will have to be used to create a double bond with the central nitrogen (N)</t>
  </si>
  <si>
    <t>A Type II ion is a positively charged metal cation  (a transition metal) that can form more than one charge state , and its name in a compound requires a Roman numeral (Stock system).</t>
  </si>
  <si>
    <t>d) all the above</t>
  </si>
  <si>
    <t>c) 75.0 J</t>
  </si>
  <si>
    <t>A solid has both a definite volume and a definite shape.</t>
  </si>
  <si>
    <t>c) solid</t>
  </si>
  <si>
    <t xml:space="preserve">Boiling is the phase change from liquid to gas (vaporization), and the associated enthalpy change is the enthalpy of vaporization (ΔHvap​). </t>
  </si>
  <si>
    <t>a) ΔHvap​</t>
  </si>
  <si>
    <t>Mass is a measure of the amount of matter and is correctly expressed in grams (g).</t>
  </si>
  <si>
    <t>a) g</t>
  </si>
  <si>
    <t xml:space="preserve">The order of strength is: Hydrogen Bonding (H-B, strongest) &gt; Dipole-Dipole (D-D, intermediate) &gt; London Dispersion Forces (LDF, weakest). </t>
  </si>
  <si>
    <t>b) H-B&gt;D-D&gt;LDF</t>
  </si>
  <si>
    <t>Explanation</t>
  </si>
  <si>
    <t>Question</t>
  </si>
  <si>
    <t>Version A</t>
  </si>
  <si>
    <t>Version B</t>
  </si>
  <si>
    <t>To convert from Celsius to Kelvin, use the formula K=∘C+273.15.  K=1∘C+273≈274 K</t>
  </si>
  <si>
    <t>The mass percentage of water is Molar mass of HydrateMass of 7H2​O​×100%. Mass of 7H2​O=7×18.02 g/mol≈126.14 g/mol.      Mass Percentage=246.5 g/mol126.14 g/mol​×100%≈51.17%   (which matches option c) 51.16%).</t>
  </si>
  <si>
    <t>Use the heat formula q=m×c×ΔT.   q=(10.0 g)×(0.250 J/(g∘C))×(50∘C−20∘C)    q=(10.0 g)×(0.250 J/(g∘C))×(30∘C)=75.0 J</t>
  </si>
  <si>
    <t>d) N2Cl4</t>
  </si>
  <si>
    <t>Ver B key</t>
  </si>
  <si>
    <t>Ver A key</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</si>
  <si>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</si>
  <si>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</si>
  <si>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</si>
  <si>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</si>
  <si>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</si>
  <si>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</si>
  <si>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</si>
  <si>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</si>
  <si>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</si>
  <si>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</si>
  <si>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</si>
  <si>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</si>
  <si>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</si>
  <si>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</si>
  <si>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</si>
  <si>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</si>
  <si>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</si>
  <si>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</si>
  <si>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</si>
  <si>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</si>
  <si>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</si>
  <si>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</si>
  <si>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</si>
  <si>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</si>
  <si>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</si>
  <si>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</si>
  <si>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</si>
  <si>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</si>
  <si>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</si>
  <si>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</si>
  <si>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</si>
  <si>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</si>
  <si>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</si>
  <si>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</si>
  <si>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</si>
  <si>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B</t>
  </si>
  <si>
    <t>A</t>
  </si>
  <si>
    <t>C</t>
  </si>
  <si>
    <t>D</t>
  </si>
  <si>
    <t>E</t>
  </si>
  <si>
    <t>ID1</t>
  </si>
  <si>
    <t>Student</t>
  </si>
  <si>
    <t>Section</t>
  </si>
  <si>
    <t>BLANK</t>
  </si>
  <si>
    <t>Edited StudentID</t>
  </si>
  <si>
    <t>Student Name</t>
  </si>
  <si>
    <t>Email</t>
  </si>
  <si>
    <t>Andrade, Antonio</t>
  </si>
  <si>
    <t>AAndrade26@MY.SCCCD.EDU</t>
  </si>
  <si>
    <t>Aquino, Hailey</t>
  </si>
  <si>
    <t>HJAquino1@MY.SCCCD.EDU</t>
  </si>
  <si>
    <t>Arellano Cruz, Ashley</t>
  </si>
  <si>
    <t>AMArellanoCruz1@MY.SCCCD.EDU</t>
  </si>
  <si>
    <t>Becerril, Destiny</t>
  </si>
  <si>
    <t>DVBecerril1@MY.SCCCD.EDU</t>
  </si>
  <si>
    <t>Castro, Socorro</t>
  </si>
  <si>
    <t>SCastro42@MY.SCCCD.EDU</t>
  </si>
  <si>
    <t>Ceballos, Ariel</t>
  </si>
  <si>
    <t>AMCeballos1@MY.SCCCD.EDU</t>
  </si>
  <si>
    <t>Corea, Kristie</t>
  </si>
  <si>
    <t>KNCorea1@MY.SCCCD.EDU</t>
  </si>
  <si>
    <t>Cuevas Romero, Ana</t>
  </si>
  <si>
    <t>ADCuevasRomero1@MY.SCCCD.EDU</t>
  </si>
  <si>
    <t>Esparza, Beatrice</t>
  </si>
  <si>
    <t>BMEsparza1@MY.SCCCD.EDU</t>
  </si>
  <si>
    <t>Fang, Pa</t>
  </si>
  <si>
    <t>PHFang1@MY.SCCCD.EDU</t>
  </si>
  <si>
    <t>Gamez, Sergio</t>
  </si>
  <si>
    <t>SRGamez1@MY.SCCCD.EDU</t>
  </si>
  <si>
    <t>Garcia, Andres</t>
  </si>
  <si>
    <t>AGarcia679@MY.SCCCD.EDU</t>
  </si>
  <si>
    <t>Garcia, Jovanna</t>
  </si>
  <si>
    <t>JAGarcia38@MY.SCCCD.EDU</t>
  </si>
  <si>
    <t>Garcia, Sabrina</t>
  </si>
  <si>
    <t>SRGarcia4@MY.SCCCD.EDU</t>
  </si>
  <si>
    <t>Garcia-Hernandez, Allison</t>
  </si>
  <si>
    <t>AGGarciaHernandez2@MY.SCCCD.EDU</t>
  </si>
  <si>
    <t>Garza, Liliana</t>
  </si>
  <si>
    <t>LBGarza1@MY.SCCCD.EDU</t>
  </si>
  <si>
    <t>Her, Kangbao</t>
  </si>
  <si>
    <t>KHer133@MY.SCCCD.EDU</t>
  </si>
  <si>
    <t>Hernan, Jazmine</t>
  </si>
  <si>
    <t>JHHernan1@MY.SCCCD.EDU</t>
  </si>
  <si>
    <t>Hernandez Salcedo, Belen</t>
  </si>
  <si>
    <t>BGHernandezSalcedo1@MY.SCCCD.EDU</t>
  </si>
  <si>
    <t>Hernandez, Arriel</t>
  </si>
  <si>
    <t>AHernandez641@MY.SCCCD.EDU</t>
  </si>
  <si>
    <t>Jimenez Merino, Oscar</t>
  </si>
  <si>
    <t>ODJimenezMerino1@MY.SCCCD.EDU</t>
  </si>
  <si>
    <t>Ketcheside, Sadee</t>
  </si>
  <si>
    <t>SJKetcheside1@MY.SCCCD.EDU</t>
  </si>
  <si>
    <t>Khan, Hamza</t>
  </si>
  <si>
    <t>HAKhan2@MY.SCCCD.EDU</t>
  </si>
  <si>
    <t>Landeros, Hidai</t>
  </si>
  <si>
    <t>HMLanderos1@MY.SCCCD.EDU</t>
  </si>
  <si>
    <t>Lopez, Jovina</t>
  </si>
  <si>
    <t>JALopez110@MY.SCCCD.EDU</t>
  </si>
  <si>
    <t>Maravilla Martinez, Rogelio</t>
  </si>
  <si>
    <t>RMaravillaMartinez1@MY.SCCCD.EDU</t>
  </si>
  <si>
    <t>Marquez, Rocelia</t>
  </si>
  <si>
    <t>RMarquez33@MY.SCCCD.EDU</t>
  </si>
  <si>
    <t>Martinez, Vanessa</t>
  </si>
  <si>
    <t>VEMartinez2@MY.SCCCD.EDU</t>
  </si>
  <si>
    <t>McGill, Abigail</t>
  </si>
  <si>
    <t>AIMcGill1@MY.SCCCD.EDU</t>
  </si>
  <si>
    <t>Morgan, Steven</t>
  </si>
  <si>
    <t>SVMorgan1@MY.SCCCD.EDU</t>
  </si>
  <si>
    <t>Moua, Haley</t>
  </si>
  <si>
    <t>HNMoua3@MY.SCCCD.EDU</t>
  </si>
  <si>
    <t>Munoz Cisneros, Evelyn</t>
  </si>
  <si>
    <t>EMunozCisneros1@MY.SCCCD.EDU</t>
  </si>
  <si>
    <t>Musso, Isabella</t>
  </si>
  <si>
    <t>IRMusso1@MY.SCCCD.EDU</t>
  </si>
  <si>
    <t>Negrete, Miguel</t>
  </si>
  <si>
    <t>MNegrete25@MY.SCCCD.EDU</t>
  </si>
  <si>
    <t>Nounvilaythong, Samaria</t>
  </si>
  <si>
    <t>SVNounvilaythong1@MY.SCCCD.EDU</t>
  </si>
  <si>
    <t>Olea, Joscelyne</t>
  </si>
  <si>
    <t>JDOlea1@MY.SCCCD.EDU</t>
  </si>
  <si>
    <t>Parada, Jennifer</t>
  </si>
  <si>
    <t>JParada1@MY.SCCCD.EDU</t>
  </si>
  <si>
    <t>Pascale, Teah</t>
  </si>
  <si>
    <t>TMPascale1@MY.SCCCD.EDU</t>
  </si>
  <si>
    <t>Pedroza, Serena</t>
  </si>
  <si>
    <t>SRPedroza2@MY.SCCCD.EDU</t>
  </si>
  <si>
    <t>Perales, April</t>
  </si>
  <si>
    <t>AKPerales1@MY.SCCCD.EDU</t>
  </si>
  <si>
    <t>Pyle, Matthew</t>
  </si>
  <si>
    <t>MPyle1@MY.SCCCD.EDU</t>
  </si>
  <si>
    <t>Rodriguez, Ericke</t>
  </si>
  <si>
    <t>EMRodriguez22@MY.SCCCD.EDU</t>
  </si>
  <si>
    <t>Rodriguez, Madison</t>
  </si>
  <si>
    <t>MTRodriguez3@MY.SCCCD.EDU</t>
  </si>
  <si>
    <t>Ross, Derick</t>
  </si>
  <si>
    <t>DSRoss2@MY.SCCCD.EDU</t>
  </si>
  <si>
    <t>San Roman, Jesus</t>
  </si>
  <si>
    <t>JSanRoman2@MY.SCCCD.EDU</t>
  </si>
  <si>
    <t>Bryant, Tajanique</t>
  </si>
  <si>
    <t>TMBryant1@MY.SCCCD.EDU</t>
  </si>
  <si>
    <t>Sandoval, Emily</t>
  </si>
  <si>
    <t>EESandoval2@MY.SCCCD.EDU</t>
  </si>
  <si>
    <t>Santos, Madison</t>
  </si>
  <si>
    <t>MRSantos3@MY.SCCCD.EDU</t>
  </si>
  <si>
    <t>Sarkisyan, Rita</t>
  </si>
  <si>
    <t>RASarkisyan1@MY.SCCCD.EDU</t>
  </si>
  <si>
    <t>Snell, Tricia</t>
  </si>
  <si>
    <t>TDSnell1@MY.SCCCD.EDU</t>
  </si>
  <si>
    <t>Tacadena, Elle</t>
  </si>
  <si>
    <t>EMTacadena1@MY.SCCCD.EDU</t>
  </si>
  <si>
    <t>Torrence, Mykhail</t>
  </si>
  <si>
    <t>MTorrence1@MY.SCCCD.EDU</t>
  </si>
  <si>
    <t>Vargas, Lisa</t>
  </si>
  <si>
    <t>LRVargas1@MY.SCCCD.EDU</t>
  </si>
  <si>
    <t>Wright, Rebecca</t>
  </si>
  <si>
    <t>RLWright3@MY.SCCCD.EDU</t>
  </si>
  <si>
    <t>Xiong, Wendy</t>
  </si>
  <si>
    <t>WPXiong2@MY.SCCCD.EDU</t>
  </si>
  <si>
    <t>Zavala, Nia</t>
  </si>
  <si>
    <t>NRZavala2@MY.SCCCD.EDU</t>
  </si>
  <si>
    <t>As formula</t>
  </si>
  <si>
    <t>Recorded Student ID</t>
  </si>
  <si>
    <t>Recorded Key ID</t>
  </si>
  <si>
    <t>Edited Key ID</t>
  </si>
  <si>
    <t>As Value + Edited</t>
  </si>
  <si>
    <t>Count =</t>
  </si>
  <si>
    <t>M/C Correct</t>
  </si>
  <si>
    <t>T/F Correct</t>
  </si>
  <si>
    <t>Raw Score</t>
  </si>
  <si>
    <t>Adjusted Score</t>
  </si>
  <si>
    <t>Z value</t>
  </si>
  <si>
    <t>Full Test</t>
  </si>
  <si>
    <t>Corrected Test</t>
  </si>
  <si>
    <t>mean</t>
  </si>
  <si>
    <t>std dev</t>
  </si>
  <si>
    <t>Your Choices</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</si>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</sst>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7" x14ac:knownFonts="1">
    <font>
      <sz val="10"/>
      <color rgb="FF000000"/>
      <name val="Arial"/>
      <scheme val="minor"/>
    </font>
    <font>
      <sz val="10"/>
      <color theme="1"/>
      <name val="Arial"/>
      <scheme val="minor"/>
    </font>
    <font>
      <sz val="10"/>
      <color theme="1"/>
      <name val="Arial"/>
      <family val="2"/>
      <scheme val="minor"/>
    </font>
    <font>
      <sz val="8"/>
      <name val="Arial"/>
      <scheme val="minor"/>
    </font>
    <font>
      <sz val="10"/>
      <color rgb="FF000000"/>
      <name val="Arial"/>
      <family val="2"/>
      <scheme val="minor"/>
    </font>
    <font>
      <sz val="10"/>
      <name val="Tahoma"/>
      <family val="2"/>
    </font>
    <font>
      <b/>
      <sz val="10"/>
      <color rgb="FF000000"/>
      <name val="Arial"/>
      <family val="2"/>
      <scheme val="minor"/>
    </font>
  </fonts>
  <fills count="3">
    <fill>
      <patternFill patternType="none"/>
    </fill>
    <fill>
      <patternFill patternType="gray125"/>
    </fill>
    <fill>
      <patternFill patternType="solid">
        <fgColor theme="0" tint="-0.14996795556505021"/>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0" fillId="2" borderId="0" xfId="0" applyFill="1"/>
    <xf numFmtId="0" fontId="2" fillId="0" borderId="0" xfId="0" applyFont="1"/>
    <xf numFmtId="0" fontId="0" fillId="0" borderId="0" xfId="0" applyAlignment="1">
      <alignment horizontal="center"/>
    </xf>
    <xf numFmtId="164" fontId="0" fillId="0" borderId="0" xfId="0" applyNumberFormat="1"/>
    <xf numFmtId="0" fontId="4" fillId="0" borderId="0" xfId="0" applyFont="1"/>
    <xf numFmtId="0" fontId="0" fillId="0" borderId="0" xfId="0" applyAlignment="1">
      <alignment wrapText="1"/>
    </xf>
    <xf numFmtId="0" fontId="5" fillId="0" borderId="0" xfId="0" applyFont="1"/>
    <xf numFmtId="164" fontId="0" fillId="0" borderId="0" xfId="0" applyNumberFormat="1" applyAlignment="1">
      <alignment horizontal="center" wrapText="1"/>
    </xf>
    <xf numFmtId="164" fontId="0" fillId="0" borderId="0" xfId="0" applyNumberFormat="1" applyAlignment="1">
      <alignment horizontal="center"/>
    </xf>
    <xf numFmtId="0" fontId="0" fillId="0" borderId="0" xfId="0" applyAlignment="1">
      <alignment horizontal="center" wrapText="1"/>
    </xf>
    <xf numFmtId="0" fontId="4" fillId="0" borderId="0" xfId="0" applyFont="1" applyAlignment="1">
      <alignment horizontal="center"/>
    </xf>
    <xf numFmtId="0" fontId="0" fillId="0" borderId="0" xfId="0" applyAlignment="1">
      <alignment horizontal="right"/>
    </xf>
    <xf numFmtId="0" fontId="0" fillId="0" borderId="0" xfId="0" applyAlignment="1">
      <alignment horizontal="left"/>
    </xf>
    <xf numFmtId="0" fontId="4" fillId="2" borderId="0" xfId="0" applyFont="1" applyFill="1" applyAlignment="1">
      <alignment horizontal="center"/>
    </xf>
    <xf numFmtId="0" fontId="4" fillId="2" borderId="0" xfId="0" applyFont="1" applyFill="1"/>
    <xf numFmtId="2" fontId="0" fillId="0" borderId="0" xfId="0" applyNumberFormat="1"/>
    <xf numFmtId="165" fontId="0" fillId="0" borderId="0" xfId="0" applyNumberFormat="1"/>
    <xf numFmtId="2" fontId="6" fillId="0" borderId="0" xfId="0" applyNumberFormat="1" applyFont="1"/>
    <xf numFmtId="0" fontId="6" fillId="0" borderId="0" xfId="0" applyFont="1"/>
    <xf numFmtId="0" fontId="6" fillId="0" borderId="0" xfId="0" applyFont="1" applyAlignment="1">
      <alignment wrapText="1"/>
    </xf>
    <xf numFmtId="0" fontId="6" fillId="0" borderId="0" xfId="0" applyFont="1" applyAlignment="1">
      <alignment horizontal="center"/>
    </xf>
    <xf numFmtId="0" fontId="4" fillId="0" borderId="0" xfId="0" applyFont="1" applyAlignment="1">
      <alignment horizontal="center" wrapText="1"/>
    </xf>
    <xf numFmtId="0" fontId="0" fillId="0" borderId="0" xfId="0" applyAlignment="1">
      <alignment horizontal="center" wrapText="1"/>
    </xf>
    <xf numFmtId="0" fontId="4" fillId="0" borderId="0" xfId="0" applyFont="1" applyAlignment="1">
      <alignment horizontal="center"/>
    </xf>
    <xf numFmtId="0" fontId="6" fillId="0" borderId="0" xfId="0" applyFont="1" applyAlignment="1">
      <alignment horizontal="center" wrapText="1"/>
    </xf>
  </cellXfs>
  <cellStyles count="1">
    <cellStyle name="Normal" xfId="0" builtinId="0"/>
  </cellStyles>
  <dxfs count="3">
    <dxf>
      <fill>
        <patternFill>
          <bgColor rgb="FFFF99FF"/>
        </patternFill>
      </fill>
    </dxf>
    <dxf>
      <fill>
        <patternFill>
          <bgColor rgb="FFFF99FF"/>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0351-61FE-4890-886A-81BED1274858}">
  <dimension ref="A1:AY70"/>
  <sheetViews>
    <sheetView tabSelected="1" workbookViewId="0">
      <selection activeCell="N8" sqref="N8"/>
    </sheetView>
  </sheetViews>
  <sheetFormatPr defaultRowHeight="12.75" x14ac:dyDescent="0.2"/>
  <cols>
    <col min="1" max="1" width="10.140625" customWidth="1"/>
    <col min="2" max="2" width="6.5703125" customWidth="1"/>
    <col min="3" max="3" width="10.42578125" customWidth="1"/>
    <col min="4" max="4" width="10.7109375" customWidth="1"/>
    <col min="5" max="5" width="24.7109375" customWidth="1"/>
    <col min="6" max="6" width="10.7109375" customWidth="1"/>
    <col min="7" max="7" width="24.7109375" customWidth="1"/>
    <col min="8" max="8" width="10.140625" customWidth="1"/>
    <col min="9" max="9" width="2.85546875" style="4" customWidth="1"/>
    <col min="10" max="14" width="6.85546875" customWidth="1"/>
    <col min="15" max="15" width="9" customWidth="1"/>
    <col min="16" max="16" width="9.7109375" customWidth="1"/>
    <col min="17" max="51" width="5.85546875" customWidth="1"/>
  </cols>
  <sheetData>
    <row r="1" spans="1:51" x14ac:dyDescent="0.2">
      <c r="J1" s="27" t="s">
        <v>276</v>
      </c>
      <c r="K1" s="27"/>
      <c r="L1" s="27" t="s">
        <v>277</v>
      </c>
      <c r="M1" s="27"/>
    </row>
    <row r="2" spans="1:51" ht="12.75" customHeight="1" x14ac:dyDescent="0.2">
      <c r="A2" s="25" t="s">
        <v>267</v>
      </c>
      <c r="B2" s="25" t="s">
        <v>268</v>
      </c>
      <c r="C2" s="25" t="s">
        <v>266</v>
      </c>
      <c r="D2" s="25" t="s">
        <v>150</v>
      </c>
      <c r="E2" s="27" t="s">
        <v>265</v>
      </c>
      <c r="F2" s="27"/>
      <c r="G2" s="27" t="s">
        <v>269</v>
      </c>
      <c r="H2" s="27"/>
      <c r="I2" s="17"/>
      <c r="J2" s="25" t="s">
        <v>271</v>
      </c>
      <c r="K2" s="25" t="s">
        <v>272</v>
      </c>
      <c r="L2" s="25" t="s">
        <v>271</v>
      </c>
      <c r="M2" s="25" t="s">
        <v>272</v>
      </c>
      <c r="N2" s="25" t="s">
        <v>273</v>
      </c>
      <c r="O2" s="25" t="s">
        <v>274</v>
      </c>
      <c r="P2" s="28" t="s">
        <v>275</v>
      </c>
    </row>
    <row r="3" spans="1:51" x14ac:dyDescent="0.2">
      <c r="A3" s="26"/>
      <c r="B3" s="26"/>
      <c r="C3" s="25"/>
      <c r="D3" s="25"/>
      <c r="E3" s="8" t="s">
        <v>151</v>
      </c>
      <c r="F3" s="8" t="s">
        <v>148</v>
      </c>
      <c r="G3" s="8" t="s">
        <v>151</v>
      </c>
      <c r="H3" s="8" t="s">
        <v>148</v>
      </c>
      <c r="I3" s="18"/>
      <c r="J3" s="25"/>
      <c r="K3" s="25"/>
      <c r="L3" s="25"/>
      <c r="M3" s="25"/>
      <c r="N3" s="25"/>
      <c r="O3" s="25"/>
      <c r="P3" s="28"/>
      <c r="Q3" s="6" t="s">
        <v>106</v>
      </c>
      <c r="R3" s="6" t="s">
        <v>107</v>
      </c>
      <c r="S3" s="6" t="s">
        <v>108</v>
      </c>
      <c r="T3" s="6" t="s">
        <v>109</v>
      </c>
      <c r="U3" s="6" t="s">
        <v>110</v>
      </c>
      <c r="V3" s="6" t="s">
        <v>111</v>
      </c>
      <c r="W3" s="6" t="s">
        <v>112</v>
      </c>
      <c r="X3" s="6" t="s">
        <v>113</v>
      </c>
      <c r="Y3" s="6" t="s">
        <v>114</v>
      </c>
      <c r="Z3" s="6" t="s">
        <v>115</v>
      </c>
      <c r="AA3" s="6" t="s">
        <v>116</v>
      </c>
      <c r="AB3" s="6" t="s">
        <v>117</v>
      </c>
      <c r="AC3" s="6" t="s">
        <v>118</v>
      </c>
      <c r="AD3" s="6" t="s">
        <v>119</v>
      </c>
      <c r="AE3" s="6" t="s">
        <v>120</v>
      </c>
      <c r="AF3" s="6" t="s">
        <v>121</v>
      </c>
      <c r="AG3" s="6" t="s">
        <v>122</v>
      </c>
      <c r="AH3" s="6" t="s">
        <v>123</v>
      </c>
      <c r="AI3" s="6" t="s">
        <v>124</v>
      </c>
      <c r="AJ3" s="6" t="s">
        <v>125</v>
      </c>
      <c r="AK3" s="6" t="s">
        <v>126</v>
      </c>
      <c r="AL3" s="6" t="s">
        <v>127</v>
      </c>
      <c r="AM3" s="6" t="s">
        <v>128</v>
      </c>
      <c r="AN3" s="6" t="s">
        <v>129</v>
      </c>
      <c r="AO3" s="6" t="s">
        <v>130</v>
      </c>
      <c r="AP3" s="6" t="s">
        <v>131</v>
      </c>
      <c r="AQ3" s="6" t="s">
        <v>132</v>
      </c>
      <c r="AR3" s="6" t="s">
        <v>133</v>
      </c>
      <c r="AS3" s="6" t="s">
        <v>134</v>
      </c>
      <c r="AT3" s="6" t="s">
        <v>135</v>
      </c>
      <c r="AU3" s="6" t="s">
        <v>136</v>
      </c>
      <c r="AV3" s="6" t="s">
        <v>137</v>
      </c>
      <c r="AW3" s="6" t="s">
        <v>138</v>
      </c>
      <c r="AX3" s="6" t="s">
        <v>139</v>
      </c>
      <c r="AY3" s="6" t="s">
        <v>140</v>
      </c>
    </row>
    <row r="4" spans="1:51" x14ac:dyDescent="0.2">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row>
    <row r="5" spans="1:51" x14ac:dyDescent="0.2">
      <c r="P5" t="s">
        <v>105</v>
      </c>
      <c r="Q5" s="6" t="s">
        <v>141</v>
      </c>
      <c r="R5" s="6" t="s">
        <v>142</v>
      </c>
      <c r="S5" s="6" t="s">
        <v>142</v>
      </c>
      <c r="T5" s="6" t="s">
        <v>143</v>
      </c>
      <c r="U5" s="6" t="s">
        <v>143</v>
      </c>
      <c r="V5" s="6" t="s">
        <v>144</v>
      </c>
      <c r="W5" s="6" t="s">
        <v>143</v>
      </c>
      <c r="X5" s="6" t="s">
        <v>143</v>
      </c>
      <c r="Y5" s="6" t="s">
        <v>143</v>
      </c>
      <c r="Z5" s="6" t="s">
        <v>144</v>
      </c>
      <c r="AA5" s="6" t="s">
        <v>143</v>
      </c>
      <c r="AB5" s="6" t="s">
        <v>143</v>
      </c>
      <c r="AC5" s="6" t="s">
        <v>143</v>
      </c>
      <c r="AD5" s="6" t="s">
        <v>143</v>
      </c>
      <c r="AE5" s="6" t="s">
        <v>144</v>
      </c>
      <c r="AF5" s="6" t="s">
        <v>143</v>
      </c>
      <c r="AG5" s="6" t="s">
        <v>142</v>
      </c>
      <c r="AH5" s="6" t="s">
        <v>141</v>
      </c>
      <c r="AI5" s="6" t="s">
        <v>141</v>
      </c>
      <c r="AJ5" s="6" t="s">
        <v>144</v>
      </c>
      <c r="AK5" s="6" t="s">
        <v>143</v>
      </c>
      <c r="AL5" s="6" t="s">
        <v>144</v>
      </c>
      <c r="AM5" s="6" t="s">
        <v>143</v>
      </c>
      <c r="AN5" s="6" t="s">
        <v>144</v>
      </c>
      <c r="AO5" s="6" t="s">
        <v>141</v>
      </c>
      <c r="AP5" s="6" t="s">
        <v>142</v>
      </c>
      <c r="AQ5" s="6" t="s">
        <v>142</v>
      </c>
      <c r="AR5" s="6" t="s">
        <v>142</v>
      </c>
      <c r="AS5" s="6" t="s">
        <v>141</v>
      </c>
      <c r="AT5" s="6" t="s">
        <v>141</v>
      </c>
      <c r="AU5" s="6" t="s">
        <v>142</v>
      </c>
      <c r="AV5" s="6" t="s">
        <v>141</v>
      </c>
      <c r="AW5" s="6" t="s">
        <v>141</v>
      </c>
      <c r="AX5" s="6" t="s">
        <v>142</v>
      </c>
      <c r="AY5" s="6" t="s">
        <v>141</v>
      </c>
    </row>
    <row r="6" spans="1:51" x14ac:dyDescent="0.2">
      <c r="P6" t="s">
        <v>104</v>
      </c>
      <c r="Q6" s="6" t="s">
        <v>142</v>
      </c>
      <c r="R6" s="6" t="s">
        <v>142</v>
      </c>
      <c r="S6" s="6" t="s">
        <v>143</v>
      </c>
      <c r="T6" s="6" t="s">
        <v>144</v>
      </c>
      <c r="U6" s="6" t="s">
        <v>143</v>
      </c>
      <c r="V6" s="6" t="s">
        <v>143</v>
      </c>
      <c r="W6" s="6" t="s">
        <v>143</v>
      </c>
      <c r="X6" s="6" t="s">
        <v>144</v>
      </c>
      <c r="Y6" s="6" t="s">
        <v>143</v>
      </c>
      <c r="Z6" s="6" t="s">
        <v>143</v>
      </c>
      <c r="AA6" s="6" t="s">
        <v>143</v>
      </c>
      <c r="AB6" s="6" t="s">
        <v>143</v>
      </c>
      <c r="AC6" s="6" t="s">
        <v>144</v>
      </c>
      <c r="AD6" s="6" t="s">
        <v>143</v>
      </c>
      <c r="AE6" s="6" t="s">
        <v>143</v>
      </c>
      <c r="AF6" s="6" t="s">
        <v>142</v>
      </c>
      <c r="AG6" s="6" t="s">
        <v>141</v>
      </c>
      <c r="AH6" s="6" t="s">
        <v>141</v>
      </c>
      <c r="AI6" s="6" t="s">
        <v>141</v>
      </c>
      <c r="AJ6" s="6" t="s">
        <v>143</v>
      </c>
      <c r="AK6" s="6" t="s">
        <v>144</v>
      </c>
      <c r="AL6" s="6" t="s">
        <v>144</v>
      </c>
      <c r="AM6" s="6" t="s">
        <v>143</v>
      </c>
      <c r="AN6" s="6" t="s">
        <v>144</v>
      </c>
      <c r="AO6" s="6" t="s">
        <v>141</v>
      </c>
      <c r="AP6" s="6" t="s">
        <v>142</v>
      </c>
      <c r="AQ6" s="6" t="s">
        <v>141</v>
      </c>
      <c r="AR6" s="6" t="s">
        <v>141</v>
      </c>
      <c r="AS6" s="6" t="s">
        <v>142</v>
      </c>
      <c r="AT6" s="6" t="s">
        <v>142</v>
      </c>
      <c r="AU6" s="6" t="s">
        <v>142</v>
      </c>
      <c r="AV6" s="6" t="s">
        <v>141</v>
      </c>
      <c r="AW6" s="6" t="s">
        <v>142</v>
      </c>
      <c r="AX6" s="6" t="s">
        <v>142</v>
      </c>
      <c r="AY6" s="6" t="s">
        <v>141</v>
      </c>
    </row>
    <row r="7" spans="1:51" x14ac:dyDescent="0.2">
      <c r="A7" s="15" t="s">
        <v>270</v>
      </c>
      <c r="B7">
        <f>COUNT(D8:D59)</f>
        <v>52</v>
      </c>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51" x14ac:dyDescent="0.2">
      <c r="A8" t="s">
        <v>142</v>
      </c>
      <c r="B8" s="6" t="str">
        <f>A8</f>
        <v>A</v>
      </c>
      <c r="C8" s="7">
        <v>1043694</v>
      </c>
      <c r="D8" s="7">
        <v>1043694</v>
      </c>
      <c r="E8" t="str">
        <f>_xlfn.XLOOKUP(D8,'Student Roster'!A:A,'Student Roster'!B:B, "Not Found")</f>
        <v>Khan, Hamza</v>
      </c>
      <c r="F8">
        <f>_xlfn.XLOOKUP(D8,'Student Roster'!A:A,'Student Roster'!C:C, "Not Found")</f>
        <v>43958</v>
      </c>
      <c r="G8" t="s">
        <v>197</v>
      </c>
      <c r="H8">
        <v>43958</v>
      </c>
      <c r="J8" s="15" cm="1">
        <f t="array" ref="J8">SUMPRODUCT(--(Q8:AO8=IF(B8="A",$Q$5:$AO$5,$Q$6:$AO$6)))</f>
        <v>22</v>
      </c>
      <c r="K8" cm="1">
        <f t="array" ref="K8">SUMPRODUCT(--(AP8:AY8=IF(B8="A",$AP$5:$AY$5,$AP$6:$AY$6)))</f>
        <v>8</v>
      </c>
      <c r="L8" cm="1">
        <f t="array" ref="L8">SUMPRODUCT(--($Q8:$AO8 = IF($B8="A", $Q$5:$AO$5, $Q$6:$AO$6)),--IF($B8="A", (COLUMN($Q8:$AO8)&lt;&gt;COLUMN($W$8)), (COLUMN($Q8:$AO8)&lt;&gt;COLUMN($Z$8))))</f>
        <v>21</v>
      </c>
      <c r="M8">
        <f>K8</f>
        <v>8</v>
      </c>
      <c r="N8">
        <f>L8*3+M8</f>
        <v>71</v>
      </c>
      <c r="O8" s="20">
        <f>N8*100/(24*3+10)</f>
        <v>86.58536585365853</v>
      </c>
      <c r="P8" s="21">
        <f>(O8-$O$62)/$O$63</f>
        <v>1.5617190868769084</v>
      </c>
      <c r="Q8" s="6" t="s">
        <v>141</v>
      </c>
      <c r="R8" s="6" t="s">
        <v>142</v>
      </c>
      <c r="S8" s="6" t="s">
        <v>142</v>
      </c>
      <c r="T8" s="6" t="s">
        <v>143</v>
      </c>
      <c r="U8" s="6" t="s">
        <v>143</v>
      </c>
      <c r="V8" s="6" t="s">
        <v>143</v>
      </c>
      <c r="W8" s="6" t="s">
        <v>143</v>
      </c>
      <c r="X8" s="6" t="s">
        <v>143</v>
      </c>
      <c r="Y8" s="6" t="s">
        <v>143</v>
      </c>
      <c r="Z8" s="6" t="s">
        <v>144</v>
      </c>
      <c r="AA8" s="6" t="s">
        <v>143</v>
      </c>
      <c r="AB8" s="6" t="s">
        <v>143</v>
      </c>
      <c r="AC8" s="6" t="s">
        <v>143</v>
      </c>
      <c r="AD8" s="6" t="s">
        <v>143</v>
      </c>
      <c r="AE8" s="6" t="s">
        <v>141</v>
      </c>
      <c r="AF8" s="6" t="s">
        <v>143</v>
      </c>
      <c r="AG8" s="6" t="s">
        <v>142</v>
      </c>
      <c r="AH8" s="6" t="s">
        <v>141</v>
      </c>
      <c r="AI8" s="6" t="s">
        <v>141</v>
      </c>
      <c r="AJ8" s="6" t="s">
        <v>144</v>
      </c>
      <c r="AK8" s="6" t="s">
        <v>144</v>
      </c>
      <c r="AL8" s="6" t="s">
        <v>144</v>
      </c>
      <c r="AM8" s="6" t="s">
        <v>143</v>
      </c>
      <c r="AN8" s="6" t="s">
        <v>144</v>
      </c>
      <c r="AO8" s="6" t="s">
        <v>141</v>
      </c>
      <c r="AP8" s="6" t="s">
        <v>142</v>
      </c>
      <c r="AQ8" s="6" t="s">
        <v>142</v>
      </c>
      <c r="AR8" s="6" t="s">
        <v>142</v>
      </c>
      <c r="AS8" s="6" t="s">
        <v>141</v>
      </c>
      <c r="AT8" s="6" t="s">
        <v>141</v>
      </c>
      <c r="AU8" s="6" t="s">
        <v>142</v>
      </c>
      <c r="AV8" s="6" t="s">
        <v>141</v>
      </c>
      <c r="AW8" s="6" t="s">
        <v>142</v>
      </c>
      <c r="AX8" s="6" t="s">
        <v>142</v>
      </c>
      <c r="AY8" s="6" t="s">
        <v>142</v>
      </c>
    </row>
    <row r="9" spans="1:51" x14ac:dyDescent="0.2">
      <c r="A9" t="s">
        <v>142</v>
      </c>
      <c r="B9" s="6" t="str">
        <f t="shared" ref="B9:B21" si="0">A9</f>
        <v>A</v>
      </c>
      <c r="C9" s="7">
        <v>910945</v>
      </c>
      <c r="D9" s="7">
        <v>910945</v>
      </c>
      <c r="E9" t="str">
        <f>_xlfn.XLOOKUP(D9,'Student Roster'!A:A,'Student Roster'!B:B, "Not Found")</f>
        <v>Garza, Liliana</v>
      </c>
      <c r="F9">
        <f>_xlfn.XLOOKUP(D9,'Student Roster'!A:A,'Student Roster'!C:C, "Not Found")</f>
        <v>43958</v>
      </c>
      <c r="G9" t="s">
        <v>183</v>
      </c>
      <c r="H9">
        <v>43958</v>
      </c>
      <c r="J9" s="15" cm="1">
        <f t="array" ref="J9">SUMPRODUCT(--(Q9:AO9=IF(B9="A",$Q$5:$AO$5,$Q$6:$AO$6)))</f>
        <v>11</v>
      </c>
      <c r="K9" cm="1">
        <f t="array" ref="K9">SUMPRODUCT(--(AP9:AY9=IF(B9="A",$AP$5:$AY$5,$AP$6:$AY$6)))</f>
        <v>7</v>
      </c>
      <c r="L9" cm="1">
        <f t="array" ref="L9">SUMPRODUCT(--($Q9:$AO9 = IF($B9="A", $Q$5:$AO$5, $Q$6:$AO$6)),--IF($B9="A", (COLUMN($Q9:$AO9)&lt;&gt;COLUMN($W$8)), (COLUMN($Q9:$AO9)&lt;&gt;COLUMN($Z$8))))</f>
        <v>10</v>
      </c>
      <c r="M9">
        <f t="shared" ref="M9:M59" si="1">K9</f>
        <v>7</v>
      </c>
      <c r="N9">
        <f t="shared" ref="N9:N59" si="2">L9*3+M9</f>
        <v>37</v>
      </c>
      <c r="O9" s="20">
        <f t="shared" ref="O9:O59" si="3">N9*100/(24*3+10)</f>
        <v>45.121951219512198</v>
      </c>
      <c r="P9" s="21">
        <f t="shared" ref="P9:P58" si="4">(O9-$O$62)/$O$63</f>
        <v>-0.76441347049324526</v>
      </c>
      <c r="Q9" s="6" t="s">
        <v>144</v>
      </c>
      <c r="R9" s="6" t="s">
        <v>142</v>
      </c>
      <c r="S9" s="6" t="s">
        <v>141</v>
      </c>
      <c r="T9" s="6" t="s">
        <v>143</v>
      </c>
      <c r="U9" s="6" t="s">
        <v>144</v>
      </c>
      <c r="V9" s="6" t="s">
        <v>144</v>
      </c>
      <c r="W9" s="6" t="s">
        <v>143</v>
      </c>
      <c r="X9" s="6" t="s">
        <v>141</v>
      </c>
      <c r="Y9" s="6" t="s">
        <v>141</v>
      </c>
      <c r="Z9" s="6" t="s">
        <v>143</v>
      </c>
      <c r="AA9" s="6" t="s">
        <v>143</v>
      </c>
      <c r="AB9" s="6" t="s">
        <v>144</v>
      </c>
      <c r="AC9" s="6" t="s">
        <v>144</v>
      </c>
      <c r="AD9" s="6" t="s">
        <v>144</v>
      </c>
      <c r="AE9" s="6" t="s">
        <v>144</v>
      </c>
      <c r="AF9" s="6" t="s">
        <v>143</v>
      </c>
      <c r="AG9" s="6" t="s">
        <v>143</v>
      </c>
      <c r="AH9" s="6" t="s">
        <v>141</v>
      </c>
      <c r="AI9" s="6" t="s">
        <v>142</v>
      </c>
      <c r="AJ9" s="6" t="s">
        <v>141</v>
      </c>
      <c r="AK9" s="6" t="s">
        <v>143</v>
      </c>
      <c r="AL9" s="6" t="s">
        <v>144</v>
      </c>
      <c r="AM9" s="6" t="s">
        <v>142</v>
      </c>
      <c r="AN9" s="6" t="s">
        <v>144</v>
      </c>
      <c r="AO9" s="6" t="s">
        <v>143</v>
      </c>
      <c r="AP9" s="6" t="s">
        <v>141</v>
      </c>
      <c r="AQ9" s="6" t="s">
        <v>142</v>
      </c>
      <c r="AR9" s="6" t="s">
        <v>142</v>
      </c>
      <c r="AS9" s="6" t="s">
        <v>141</v>
      </c>
      <c r="AT9" s="6" t="s">
        <v>141</v>
      </c>
      <c r="AU9" s="6" t="s">
        <v>142</v>
      </c>
      <c r="AV9" s="6" t="s">
        <v>141</v>
      </c>
      <c r="AW9" s="6" t="s">
        <v>142</v>
      </c>
      <c r="AX9" s="6" t="s">
        <v>142</v>
      </c>
      <c r="AY9" s="6" t="s">
        <v>142</v>
      </c>
    </row>
    <row r="10" spans="1:51" x14ac:dyDescent="0.2">
      <c r="A10" t="s">
        <v>142</v>
      </c>
      <c r="B10" s="6" t="str">
        <f t="shared" si="0"/>
        <v>A</v>
      </c>
      <c r="C10" s="7">
        <v>792916</v>
      </c>
      <c r="D10" s="7">
        <v>792916</v>
      </c>
      <c r="E10" t="str">
        <f>_xlfn.XLOOKUP(D10,'Student Roster'!A:A,'Student Roster'!B:B, "Not Found")</f>
        <v>Parada, Jennifer</v>
      </c>
      <c r="F10">
        <f>_xlfn.XLOOKUP(D10,'Student Roster'!A:A,'Student Roster'!C:C, "Not Found")</f>
        <v>43958</v>
      </c>
      <c r="G10" t="s">
        <v>225</v>
      </c>
      <c r="H10">
        <v>43958</v>
      </c>
      <c r="J10" s="15" cm="1">
        <f t="array" ref="J10">SUMPRODUCT(--(Q10:AO10=IF(B10="A",$Q$5:$AO$5,$Q$6:$AO$6)))</f>
        <v>15</v>
      </c>
      <c r="K10" cm="1">
        <f t="array" ref="K10">SUMPRODUCT(--(AP10:AY10=IF(B10="A",$AP$5:$AY$5,$AP$6:$AY$6)))</f>
        <v>7</v>
      </c>
      <c r="L10" cm="1">
        <f t="array" ref="L10">SUMPRODUCT(--($Q10:$AO10 = IF($B10="A", $Q$5:$AO$5, $Q$6:$AO$6)),--IF($B10="A", (COLUMN($Q10:$AO10)&lt;&gt;COLUMN($W$8)), (COLUMN($Q10:$AO10)&lt;&gt;COLUMN($Z$8))))</f>
        <v>14</v>
      </c>
      <c r="M10">
        <f t="shared" si="1"/>
        <v>7</v>
      </c>
      <c r="N10">
        <f t="shared" si="2"/>
        <v>49</v>
      </c>
      <c r="O10" s="20">
        <f t="shared" si="3"/>
        <v>59.756097560975611</v>
      </c>
      <c r="P10" s="21">
        <f t="shared" si="4"/>
        <v>5.6574490931514974E-2</v>
      </c>
      <c r="Q10" s="6" t="s">
        <v>142</v>
      </c>
      <c r="R10" s="6" t="s">
        <v>143</v>
      </c>
      <c r="S10" s="6" t="s">
        <v>141</v>
      </c>
      <c r="T10" s="6" t="s">
        <v>145</v>
      </c>
      <c r="U10" s="6" t="s">
        <v>144</v>
      </c>
      <c r="V10" s="6" t="s">
        <v>144</v>
      </c>
      <c r="W10" s="6" t="s">
        <v>143</v>
      </c>
      <c r="X10" s="6" t="s">
        <v>143</v>
      </c>
      <c r="Y10" s="6" t="s">
        <v>143</v>
      </c>
      <c r="Z10" s="6" t="s">
        <v>144</v>
      </c>
      <c r="AA10" s="6" t="s">
        <v>143</v>
      </c>
      <c r="AB10" s="6" t="s">
        <v>144</v>
      </c>
      <c r="AC10" s="6" t="s">
        <v>143</v>
      </c>
      <c r="AD10" s="6" t="s">
        <v>141</v>
      </c>
      <c r="AE10" s="6" t="s">
        <v>144</v>
      </c>
      <c r="AF10" s="6" t="s">
        <v>143</v>
      </c>
      <c r="AG10" s="6" t="s">
        <v>142</v>
      </c>
      <c r="AH10" s="6" t="s">
        <v>141</v>
      </c>
      <c r="AI10" s="6" t="s">
        <v>142</v>
      </c>
      <c r="AJ10" s="6" t="s">
        <v>144</v>
      </c>
      <c r="AK10" s="6" t="s">
        <v>143</v>
      </c>
      <c r="AL10" s="6" t="s">
        <v>144</v>
      </c>
      <c r="AM10" s="6" t="s">
        <v>141</v>
      </c>
      <c r="AN10" s="6" t="s">
        <v>144</v>
      </c>
      <c r="AO10" s="6" t="s">
        <v>143</v>
      </c>
      <c r="AP10" s="6" t="s">
        <v>141</v>
      </c>
      <c r="AQ10" s="6" t="s">
        <v>142</v>
      </c>
      <c r="AR10" s="6" t="s">
        <v>142</v>
      </c>
      <c r="AS10" s="6" t="s">
        <v>141</v>
      </c>
      <c r="AT10" s="6" t="s">
        <v>142</v>
      </c>
      <c r="AU10" s="6" t="s">
        <v>142</v>
      </c>
      <c r="AV10" s="6" t="s">
        <v>141</v>
      </c>
      <c r="AW10" s="6" t="s">
        <v>142</v>
      </c>
      <c r="AX10" s="6" t="s">
        <v>142</v>
      </c>
      <c r="AY10" s="6" t="s">
        <v>141</v>
      </c>
    </row>
    <row r="11" spans="1:51" x14ac:dyDescent="0.2">
      <c r="A11" t="s">
        <v>149</v>
      </c>
      <c r="B11" s="14" t="s">
        <v>142</v>
      </c>
      <c r="C11" s="7">
        <v>759215</v>
      </c>
      <c r="D11" s="7">
        <v>759215</v>
      </c>
      <c r="E11" t="str">
        <f>_xlfn.XLOOKUP(D11,'Student Roster'!A:A,'Student Roster'!B:B, "Not Found")</f>
        <v>Castro, Socorro</v>
      </c>
      <c r="F11">
        <f>_xlfn.XLOOKUP(D11,'Student Roster'!A:A,'Student Roster'!C:C, "Not Found")</f>
        <v>43958</v>
      </c>
      <c r="G11" t="s">
        <v>161</v>
      </c>
      <c r="H11">
        <v>43958</v>
      </c>
      <c r="J11" s="15" cm="1">
        <f t="array" ref="J11">SUMPRODUCT(--(Q11:AO11=IF(B11="A",$Q$5:$AO$5,$Q$6:$AO$6)))</f>
        <v>12</v>
      </c>
      <c r="K11" cm="1">
        <f t="array" ref="K11">SUMPRODUCT(--(AP11:AY11=IF(B11="A",$AP$5:$AY$5,$AP$6:$AY$6)))</f>
        <v>8</v>
      </c>
      <c r="L11" cm="1">
        <f t="array" ref="L11">SUMPRODUCT(--($Q11:$AO11 = IF($B11="A", $Q$5:$AO$5, $Q$6:$AO$6)),--IF($B11="A", (COLUMN($Q11:$AO11)&lt;&gt;COLUMN($W$8)), (COLUMN($Q11:$AO11)&lt;&gt;COLUMN($Z$8))))</f>
        <v>11</v>
      </c>
      <c r="M11">
        <f t="shared" si="1"/>
        <v>8</v>
      </c>
      <c r="N11">
        <f t="shared" si="2"/>
        <v>41</v>
      </c>
      <c r="O11" s="20">
        <f t="shared" si="3"/>
        <v>50</v>
      </c>
      <c r="P11" s="21">
        <f t="shared" si="4"/>
        <v>-0.49075081668499199</v>
      </c>
      <c r="Q11" s="6" t="s">
        <v>143</v>
      </c>
      <c r="R11" s="6" t="s">
        <v>143</v>
      </c>
      <c r="S11" s="6" t="s">
        <v>143</v>
      </c>
      <c r="T11" s="6" t="s">
        <v>143</v>
      </c>
      <c r="U11" s="6" t="s">
        <v>143</v>
      </c>
      <c r="V11" s="6" t="s">
        <v>144</v>
      </c>
      <c r="W11" s="6" t="s">
        <v>143</v>
      </c>
      <c r="X11" s="6" t="s">
        <v>144</v>
      </c>
      <c r="Y11" s="6" t="s">
        <v>143</v>
      </c>
      <c r="Z11" s="6" t="s">
        <v>144</v>
      </c>
      <c r="AA11" s="6" t="s">
        <v>143</v>
      </c>
      <c r="AB11" s="6" t="s">
        <v>141</v>
      </c>
      <c r="AC11" s="6" t="s">
        <v>143</v>
      </c>
      <c r="AD11" s="6" t="s">
        <v>144</v>
      </c>
      <c r="AE11" s="6" t="s">
        <v>142</v>
      </c>
      <c r="AF11" s="6" t="s">
        <v>143</v>
      </c>
      <c r="AG11" s="6" t="s">
        <v>144</v>
      </c>
      <c r="AH11" s="6" t="s">
        <v>141</v>
      </c>
      <c r="AI11" s="6" t="s">
        <v>143</v>
      </c>
      <c r="AJ11" s="6" t="s">
        <v>143</v>
      </c>
      <c r="AK11" s="6" t="s">
        <v>143</v>
      </c>
      <c r="AL11" s="6" t="s">
        <v>143</v>
      </c>
      <c r="AM11" s="6" t="s">
        <v>143</v>
      </c>
      <c r="AN11" s="6" t="s">
        <v>145</v>
      </c>
      <c r="AO11" s="6" t="s">
        <v>144</v>
      </c>
      <c r="AP11" s="6" t="s">
        <v>142</v>
      </c>
      <c r="AQ11" s="6" t="s">
        <v>142</v>
      </c>
      <c r="AR11" s="6" t="s">
        <v>141</v>
      </c>
      <c r="AS11" s="6" t="s">
        <v>142</v>
      </c>
      <c r="AT11" s="6" t="s">
        <v>141</v>
      </c>
      <c r="AU11" s="6" t="s">
        <v>142</v>
      </c>
      <c r="AV11" s="6" t="s">
        <v>141</v>
      </c>
      <c r="AW11" s="6" t="s">
        <v>141</v>
      </c>
      <c r="AX11" s="6" t="s">
        <v>142</v>
      </c>
      <c r="AY11" s="6" t="s">
        <v>141</v>
      </c>
    </row>
    <row r="12" spans="1:51" x14ac:dyDescent="0.2">
      <c r="A12" t="s">
        <v>142</v>
      </c>
      <c r="B12" s="6" t="str">
        <f t="shared" si="0"/>
        <v>A</v>
      </c>
      <c r="C12" s="7">
        <v>754151</v>
      </c>
      <c r="D12" s="7">
        <v>754151</v>
      </c>
      <c r="E12" t="str">
        <f>_xlfn.XLOOKUP(D12,'Student Roster'!A:A,'Student Roster'!B:B, "Not Found")</f>
        <v>Zavala, Nia</v>
      </c>
      <c r="F12">
        <f>_xlfn.XLOOKUP(D12,'Student Roster'!A:A,'Student Roster'!C:C, "Not Found")</f>
        <v>43958</v>
      </c>
      <c r="G12" t="s">
        <v>263</v>
      </c>
      <c r="H12">
        <v>43958</v>
      </c>
      <c r="J12" s="15" cm="1">
        <f t="array" ref="J12">SUMPRODUCT(--(Q12:AO12=IF(B12="A",$Q$5:$AO$5,$Q$6:$AO$6)))</f>
        <v>17</v>
      </c>
      <c r="K12" cm="1">
        <f t="array" ref="K12">SUMPRODUCT(--(AP12:AY12=IF(B12="A",$AP$5:$AY$5,$AP$6:$AY$6)))</f>
        <v>2</v>
      </c>
      <c r="L12" cm="1">
        <f t="array" ref="L12">SUMPRODUCT(--($Q12:$AO12 = IF($B12="A", $Q$5:$AO$5, $Q$6:$AO$6)),--IF($B12="A", (COLUMN($Q12:$AO12)&lt;&gt;COLUMN($W$8)), (COLUMN($Q12:$AO12)&lt;&gt;COLUMN($Z$8))))</f>
        <v>16</v>
      </c>
      <c r="M12">
        <f t="shared" si="1"/>
        <v>2</v>
      </c>
      <c r="N12">
        <f t="shared" si="2"/>
        <v>50</v>
      </c>
      <c r="O12" s="20">
        <f t="shared" si="3"/>
        <v>60.975609756097562</v>
      </c>
      <c r="P12" s="21">
        <f t="shared" si="4"/>
        <v>0.1249901543835783</v>
      </c>
      <c r="Q12" s="6" t="s">
        <v>141</v>
      </c>
      <c r="R12" s="6" t="s">
        <v>143</v>
      </c>
      <c r="S12" s="6" t="s">
        <v>142</v>
      </c>
      <c r="T12" s="6" t="s">
        <v>143</v>
      </c>
      <c r="U12" s="6" t="s">
        <v>144</v>
      </c>
      <c r="V12" s="6" t="s">
        <v>144</v>
      </c>
      <c r="W12" s="6" t="s">
        <v>143</v>
      </c>
      <c r="X12" s="6" t="s">
        <v>143</v>
      </c>
      <c r="Y12" s="6" t="s">
        <v>143</v>
      </c>
      <c r="Z12" s="6" t="s">
        <v>144</v>
      </c>
      <c r="AA12" s="6" t="s">
        <v>143</v>
      </c>
      <c r="AB12" s="6" t="s">
        <v>144</v>
      </c>
      <c r="AC12" s="6" t="s">
        <v>144</v>
      </c>
      <c r="AD12" s="6" t="s">
        <v>142</v>
      </c>
      <c r="AE12" s="6" t="s">
        <v>144</v>
      </c>
      <c r="AF12" s="6" t="s">
        <v>143</v>
      </c>
      <c r="AG12" s="6" t="s">
        <v>144</v>
      </c>
      <c r="AH12" s="6" t="s">
        <v>141</v>
      </c>
      <c r="AI12" s="6" t="s">
        <v>142</v>
      </c>
      <c r="AJ12" s="6" t="s">
        <v>144</v>
      </c>
      <c r="AK12" s="6" t="s">
        <v>143</v>
      </c>
      <c r="AL12" s="6" t="s">
        <v>144</v>
      </c>
      <c r="AM12" s="6" t="s">
        <v>143</v>
      </c>
      <c r="AN12" s="6" t="s">
        <v>144</v>
      </c>
      <c r="AO12" s="6" t="s">
        <v>142</v>
      </c>
      <c r="AP12" s="6" t="s">
        <v>141</v>
      </c>
      <c r="AQ12" s="6" t="s">
        <v>142</v>
      </c>
      <c r="AR12" s="6" t="s">
        <v>141</v>
      </c>
      <c r="AS12" s="6" t="s">
        <v>142</v>
      </c>
      <c r="AT12" s="6" t="s">
        <v>142</v>
      </c>
      <c r="AU12" s="6" t="s">
        <v>141</v>
      </c>
      <c r="AV12" s="6" t="s">
        <v>142</v>
      </c>
      <c r="AW12" s="6" t="s">
        <v>142</v>
      </c>
      <c r="AX12" s="6" t="s">
        <v>142</v>
      </c>
      <c r="AY12" s="6" t="s">
        <v>142</v>
      </c>
    </row>
    <row r="13" spans="1:51" x14ac:dyDescent="0.2">
      <c r="A13" t="s">
        <v>142</v>
      </c>
      <c r="B13" s="6" t="str">
        <f t="shared" si="0"/>
        <v>A</v>
      </c>
      <c r="C13" s="7">
        <v>345856</v>
      </c>
      <c r="D13" s="7">
        <v>345856</v>
      </c>
      <c r="E13" t="str">
        <f>_xlfn.XLOOKUP(D13,'Student Roster'!A:A,'Student Roster'!B:B, "Not Found")</f>
        <v>Marquez, Rocelia</v>
      </c>
      <c r="F13">
        <f>_xlfn.XLOOKUP(D13,'Student Roster'!A:A,'Student Roster'!C:C, "Not Found")</f>
        <v>43957</v>
      </c>
      <c r="G13" t="s">
        <v>205</v>
      </c>
      <c r="H13">
        <v>43957</v>
      </c>
      <c r="J13" s="15" cm="1">
        <f t="array" ref="J13">SUMPRODUCT(--(Q13:AO13=IF(B13="A",$Q$5:$AO$5,$Q$6:$AO$6)))</f>
        <v>15</v>
      </c>
      <c r="K13" cm="1">
        <f t="array" ref="K13">SUMPRODUCT(--(AP13:AY13=IF(B13="A",$AP$5:$AY$5,$AP$6:$AY$6)))</f>
        <v>5</v>
      </c>
      <c r="L13" cm="1">
        <f t="array" ref="L13">SUMPRODUCT(--($Q13:$AO13 = IF($B13="A", $Q$5:$AO$5, $Q$6:$AO$6)),--IF($B13="A", (COLUMN($Q13:$AO13)&lt;&gt;COLUMN($W$8)), (COLUMN($Q13:$AO13)&lt;&gt;COLUMN($Z$8))))</f>
        <v>14</v>
      </c>
      <c r="M13">
        <f t="shared" si="1"/>
        <v>5</v>
      </c>
      <c r="N13">
        <f t="shared" si="2"/>
        <v>47</v>
      </c>
      <c r="O13" s="20">
        <f t="shared" si="3"/>
        <v>57.31707317073171</v>
      </c>
      <c r="P13" s="21">
        <f t="shared" si="4"/>
        <v>-8.025683597261167E-2</v>
      </c>
      <c r="Q13" s="6" t="s">
        <v>141</v>
      </c>
      <c r="R13" s="6" t="s">
        <v>143</v>
      </c>
      <c r="S13" s="6" t="s">
        <v>143</v>
      </c>
      <c r="T13" s="6" t="s">
        <v>143</v>
      </c>
      <c r="U13" s="6" t="s">
        <v>143</v>
      </c>
      <c r="V13" s="6" t="s">
        <v>142</v>
      </c>
      <c r="W13" s="6" t="s">
        <v>143</v>
      </c>
      <c r="X13" s="6" t="s">
        <v>143</v>
      </c>
      <c r="Y13" s="6" t="s">
        <v>143</v>
      </c>
      <c r="Z13" s="6" t="s">
        <v>144</v>
      </c>
      <c r="AA13" s="6" t="s">
        <v>143</v>
      </c>
      <c r="AB13" s="6" t="s">
        <v>143</v>
      </c>
      <c r="AC13" s="6" t="s">
        <v>141</v>
      </c>
      <c r="AD13" s="6" t="s">
        <v>144</v>
      </c>
      <c r="AE13" s="6" t="s">
        <v>144</v>
      </c>
      <c r="AF13" s="6" t="s">
        <v>143</v>
      </c>
      <c r="AG13" s="6" t="s">
        <v>143</v>
      </c>
      <c r="AH13" s="6" t="s">
        <v>144</v>
      </c>
      <c r="AI13" s="6" t="s">
        <v>142</v>
      </c>
      <c r="AJ13" s="6" t="s">
        <v>142</v>
      </c>
      <c r="AK13" s="6" t="s">
        <v>143</v>
      </c>
      <c r="AL13" s="6" t="s">
        <v>144</v>
      </c>
      <c r="AM13" s="6" t="s">
        <v>142</v>
      </c>
      <c r="AN13" s="6" t="s">
        <v>144</v>
      </c>
      <c r="AO13" s="6" t="s">
        <v>141</v>
      </c>
      <c r="AP13" s="6" t="s">
        <v>141</v>
      </c>
      <c r="AQ13" s="6" t="s">
        <v>142</v>
      </c>
      <c r="AR13" s="6" t="s">
        <v>142</v>
      </c>
      <c r="AS13" s="6" t="s">
        <v>142</v>
      </c>
      <c r="AT13" s="6" t="s">
        <v>141</v>
      </c>
      <c r="AU13" s="6" t="s">
        <v>142</v>
      </c>
      <c r="AV13" s="6" t="s">
        <v>141</v>
      </c>
      <c r="AW13" s="6" t="s">
        <v>142</v>
      </c>
      <c r="AX13" s="6" t="s">
        <v>141</v>
      </c>
      <c r="AY13" s="6" t="s">
        <v>142</v>
      </c>
    </row>
    <row r="14" spans="1:51" x14ac:dyDescent="0.2">
      <c r="A14" t="s">
        <v>141</v>
      </c>
      <c r="B14" s="6" t="str">
        <f t="shared" si="0"/>
        <v>B</v>
      </c>
      <c r="C14" s="7"/>
      <c r="D14" s="7">
        <v>997376</v>
      </c>
      <c r="E14" t="str">
        <f>_xlfn.XLOOKUP(D14,'Student Roster'!A:A,'Student Roster'!B:B, "Not Found")</f>
        <v>Xiong, Wendy</v>
      </c>
      <c r="F14">
        <f>_xlfn.XLOOKUP(D14,'Student Roster'!A:A,'Student Roster'!C:C, "Not Found")</f>
        <v>43958</v>
      </c>
      <c r="G14" t="s">
        <v>261</v>
      </c>
      <c r="H14">
        <v>43958</v>
      </c>
      <c r="J14" s="15" cm="1">
        <f t="array" ref="J14">SUMPRODUCT(--(Q14:AO14=IF(B14="A",$Q$5:$AO$5,$Q$6:$AO$6)))</f>
        <v>19</v>
      </c>
      <c r="K14" cm="1">
        <f t="array" ref="K14">SUMPRODUCT(--(AP14:AY14=IF(B14="A",$AP$5:$AY$5,$AP$6:$AY$6)))</f>
        <v>7</v>
      </c>
      <c r="L14" cm="1">
        <f t="array" ref="L14">SUMPRODUCT(--($Q14:$AO14 = IF($B14="A", $Q$5:$AO$5, $Q$6:$AO$6)),--IF($B14="A", (COLUMN($Q14:$AO14)&lt;&gt;COLUMN($W$8)), (COLUMN($Q14:$AO14)&lt;&gt;COLUMN($Z$8))))</f>
        <v>18</v>
      </c>
      <c r="M14">
        <f t="shared" si="1"/>
        <v>7</v>
      </c>
      <c r="N14">
        <f t="shared" si="2"/>
        <v>61</v>
      </c>
      <c r="O14" s="20">
        <f t="shared" si="3"/>
        <v>74.390243902439025</v>
      </c>
      <c r="P14" s="21">
        <f t="shared" si="4"/>
        <v>0.87756245235627517</v>
      </c>
      <c r="Q14" s="6" t="s">
        <v>142</v>
      </c>
      <c r="R14" s="6" t="s">
        <v>142</v>
      </c>
      <c r="S14" s="6" t="s">
        <v>143</v>
      </c>
      <c r="T14" s="6" t="s">
        <v>144</v>
      </c>
      <c r="U14" s="6" t="s">
        <v>145</v>
      </c>
      <c r="V14" s="6" t="s">
        <v>143</v>
      </c>
      <c r="W14" s="6" t="s">
        <v>141</v>
      </c>
      <c r="X14" s="6" t="s">
        <v>144</v>
      </c>
      <c r="Y14" s="6" t="s">
        <v>143</v>
      </c>
      <c r="Z14" s="6" t="s">
        <v>143</v>
      </c>
      <c r="AA14" s="6" t="s">
        <v>141</v>
      </c>
      <c r="AB14" s="6" t="s">
        <v>143</v>
      </c>
      <c r="AC14" s="6" t="s">
        <v>144</v>
      </c>
      <c r="AD14" s="6" t="s">
        <v>142</v>
      </c>
      <c r="AE14" s="6" t="s">
        <v>141</v>
      </c>
      <c r="AF14" s="6" t="s">
        <v>144</v>
      </c>
      <c r="AG14" s="6" t="s">
        <v>141</v>
      </c>
      <c r="AH14" s="6" t="s">
        <v>141</v>
      </c>
      <c r="AI14" s="6" t="s">
        <v>141</v>
      </c>
      <c r="AJ14" s="6" t="s">
        <v>143</v>
      </c>
      <c r="AK14" s="6" t="s">
        <v>144</v>
      </c>
      <c r="AL14" s="6" t="s">
        <v>144</v>
      </c>
      <c r="AM14" s="6" t="s">
        <v>143</v>
      </c>
      <c r="AN14" s="6" t="s">
        <v>144</v>
      </c>
      <c r="AO14" s="6" t="s">
        <v>141</v>
      </c>
      <c r="AP14" s="6" t="s">
        <v>142</v>
      </c>
      <c r="AQ14" s="6" t="s">
        <v>141</v>
      </c>
      <c r="AR14" s="6" t="s">
        <v>142</v>
      </c>
      <c r="AS14" s="6" t="s">
        <v>142</v>
      </c>
      <c r="AT14" s="6" t="s">
        <v>142</v>
      </c>
      <c r="AU14" s="6" t="s">
        <v>141</v>
      </c>
      <c r="AV14" s="6" t="s">
        <v>142</v>
      </c>
      <c r="AW14" s="6" t="s">
        <v>142</v>
      </c>
      <c r="AX14" s="6" t="s">
        <v>142</v>
      </c>
      <c r="AY14" s="6" t="s">
        <v>141</v>
      </c>
    </row>
    <row r="15" spans="1:51" x14ac:dyDescent="0.2">
      <c r="A15" t="s">
        <v>141</v>
      </c>
      <c r="B15" s="6" t="str">
        <f t="shared" si="0"/>
        <v>B</v>
      </c>
      <c r="C15" s="7">
        <v>808147</v>
      </c>
      <c r="D15" s="7">
        <v>808147</v>
      </c>
      <c r="E15" t="str">
        <f>_xlfn.XLOOKUP(D15,'Student Roster'!A:A,'Student Roster'!B:B, "Not Found")</f>
        <v>Martinez, Vanessa</v>
      </c>
      <c r="F15">
        <f>_xlfn.XLOOKUP(D15,'Student Roster'!A:A,'Student Roster'!C:C, "Not Found")</f>
        <v>43958</v>
      </c>
      <c r="G15" t="s">
        <v>207</v>
      </c>
      <c r="H15">
        <v>43958</v>
      </c>
      <c r="J15" s="15" cm="1">
        <f t="array" ref="J15">SUMPRODUCT(--(Q15:AO15=IF(B15="A",$Q$5:$AO$5,$Q$6:$AO$6)))</f>
        <v>17</v>
      </c>
      <c r="K15" cm="1">
        <f t="array" ref="K15">SUMPRODUCT(--(AP15:AY15=IF(B15="A",$AP$5:$AY$5,$AP$6:$AY$6)))</f>
        <v>4</v>
      </c>
      <c r="L15" cm="1">
        <f t="array" ref="L15">SUMPRODUCT(--($Q15:$AO15 = IF($B15="A", $Q$5:$AO$5, $Q$6:$AO$6)),--IF($B15="A", (COLUMN($Q15:$AO15)&lt;&gt;COLUMN($W$8)), (COLUMN($Q15:$AO15)&lt;&gt;COLUMN($Z$8))))</f>
        <v>16</v>
      </c>
      <c r="M15">
        <f t="shared" si="1"/>
        <v>4</v>
      </c>
      <c r="N15">
        <f t="shared" si="2"/>
        <v>52</v>
      </c>
      <c r="O15" s="20">
        <f t="shared" si="3"/>
        <v>63.414634146341463</v>
      </c>
      <c r="P15" s="21">
        <f t="shared" si="4"/>
        <v>0.26182148128770494</v>
      </c>
      <c r="Q15" s="6" t="s">
        <v>142</v>
      </c>
      <c r="R15" s="6" t="s">
        <v>141</v>
      </c>
      <c r="S15" s="6" t="s">
        <v>145</v>
      </c>
      <c r="T15" s="6" t="s">
        <v>144</v>
      </c>
      <c r="U15" s="6" t="s">
        <v>143</v>
      </c>
      <c r="V15" s="6" t="s">
        <v>141</v>
      </c>
      <c r="W15" s="6" t="s">
        <v>144</v>
      </c>
      <c r="X15" s="6" t="s">
        <v>144</v>
      </c>
      <c r="Y15" s="6" t="s">
        <v>143</v>
      </c>
      <c r="Z15" s="6" t="s">
        <v>143</v>
      </c>
      <c r="AA15" s="6" t="s">
        <v>141</v>
      </c>
      <c r="AB15" s="6" t="s">
        <v>143</v>
      </c>
      <c r="AC15" s="6" t="s">
        <v>144</v>
      </c>
      <c r="AD15" s="6" t="s">
        <v>143</v>
      </c>
      <c r="AE15" s="6" t="s">
        <v>143</v>
      </c>
      <c r="AF15" s="6" t="s">
        <v>144</v>
      </c>
      <c r="AG15" s="6" t="s">
        <v>141</v>
      </c>
      <c r="AH15" s="6" t="s">
        <v>141</v>
      </c>
      <c r="AI15" s="6" t="s">
        <v>141</v>
      </c>
      <c r="AJ15" s="6" t="s">
        <v>143</v>
      </c>
      <c r="AK15" s="6" t="s">
        <v>143</v>
      </c>
      <c r="AL15" s="6" t="s">
        <v>144</v>
      </c>
      <c r="AM15" s="6" t="s">
        <v>143</v>
      </c>
      <c r="AN15" s="6" t="s">
        <v>144</v>
      </c>
      <c r="AO15" s="6" t="s">
        <v>143</v>
      </c>
      <c r="AP15" s="6" t="s">
        <v>142</v>
      </c>
      <c r="AQ15" s="6" t="s">
        <v>142</v>
      </c>
      <c r="AR15" s="6" t="s">
        <v>142</v>
      </c>
      <c r="AS15" s="6" t="s">
        <v>142</v>
      </c>
      <c r="AT15" s="6" t="s">
        <v>141</v>
      </c>
      <c r="AU15" s="6" t="s">
        <v>141</v>
      </c>
      <c r="AV15" s="6" t="s">
        <v>142</v>
      </c>
      <c r="AW15" s="6" t="s">
        <v>141</v>
      </c>
      <c r="AX15" s="6" t="s">
        <v>142</v>
      </c>
      <c r="AY15" s="6" t="s">
        <v>141</v>
      </c>
    </row>
    <row r="16" spans="1:51" x14ac:dyDescent="0.2">
      <c r="A16" t="s">
        <v>141</v>
      </c>
      <c r="B16" s="6" t="str">
        <f t="shared" si="0"/>
        <v>B</v>
      </c>
      <c r="C16" s="7">
        <v>986455</v>
      </c>
      <c r="D16" s="7">
        <v>986455</v>
      </c>
      <c r="E16" t="str">
        <f>_xlfn.XLOOKUP(D16,'Student Roster'!A:A,'Student Roster'!B:B, "Not Found")</f>
        <v>Moua, Haley</v>
      </c>
      <c r="F16">
        <f>_xlfn.XLOOKUP(D16,'Student Roster'!A:A,'Student Roster'!C:C, "Not Found")</f>
        <v>43957</v>
      </c>
      <c r="G16" t="s">
        <v>213</v>
      </c>
      <c r="H16">
        <v>43957</v>
      </c>
      <c r="J16" s="15" cm="1">
        <f t="array" ref="J16">SUMPRODUCT(--(Q16:AO16=IF(B16="A",$Q$5:$AO$5,$Q$6:$AO$6)))</f>
        <v>13</v>
      </c>
      <c r="K16" cm="1">
        <f t="array" ref="K16">SUMPRODUCT(--(AP16:AY16=IF(B16="A",$AP$5:$AY$5,$AP$6:$AY$6)))</f>
        <v>6</v>
      </c>
      <c r="L16" cm="1">
        <f t="array" ref="L16">SUMPRODUCT(--($Q16:$AO16 = IF($B16="A", $Q$5:$AO$5, $Q$6:$AO$6)),--IF($B16="A", (COLUMN($Q16:$AO16)&lt;&gt;COLUMN($W$8)), (COLUMN($Q16:$AO16)&lt;&gt;COLUMN($Z$8))))</f>
        <v>13</v>
      </c>
      <c r="M16">
        <f t="shared" si="1"/>
        <v>6</v>
      </c>
      <c r="N16">
        <f t="shared" si="2"/>
        <v>45</v>
      </c>
      <c r="O16" s="20">
        <f t="shared" si="3"/>
        <v>54.878048780487802</v>
      </c>
      <c r="P16" s="21">
        <f t="shared" si="4"/>
        <v>-0.21708816287673871</v>
      </c>
      <c r="Q16" s="6" t="s">
        <v>143</v>
      </c>
      <c r="R16" s="6" t="s">
        <v>142</v>
      </c>
      <c r="S16" s="6" t="s">
        <v>142</v>
      </c>
      <c r="T16" s="6" t="s">
        <v>144</v>
      </c>
      <c r="U16" s="6" t="s">
        <v>143</v>
      </c>
      <c r="V16" s="6" t="s">
        <v>142</v>
      </c>
      <c r="W16" s="6" t="s">
        <v>144</v>
      </c>
      <c r="X16" s="6" t="s">
        <v>144</v>
      </c>
      <c r="Y16" s="6" t="s">
        <v>144</v>
      </c>
      <c r="Z16" s="6" t="s">
        <v>142</v>
      </c>
      <c r="AA16" s="6" t="s">
        <v>143</v>
      </c>
      <c r="AB16" s="6" t="s">
        <v>143</v>
      </c>
      <c r="AC16" s="6" t="s">
        <v>141</v>
      </c>
      <c r="AD16" s="6" t="s">
        <v>143</v>
      </c>
      <c r="AE16" s="6" t="s">
        <v>143</v>
      </c>
      <c r="AF16" s="6" t="s">
        <v>145</v>
      </c>
      <c r="AG16" s="6" t="s">
        <v>144</v>
      </c>
      <c r="AH16" s="6" t="s">
        <v>144</v>
      </c>
      <c r="AI16" s="6" t="s">
        <v>144</v>
      </c>
      <c r="AJ16" s="6" t="s">
        <v>143</v>
      </c>
      <c r="AK16" s="6" t="s">
        <v>144</v>
      </c>
      <c r="AL16" s="6" t="s">
        <v>141</v>
      </c>
      <c r="AM16" s="6" t="s">
        <v>143</v>
      </c>
      <c r="AN16" s="6" t="s">
        <v>144</v>
      </c>
      <c r="AO16" s="6" t="s">
        <v>141</v>
      </c>
      <c r="AP16" s="6" t="s">
        <v>141</v>
      </c>
      <c r="AQ16" s="6" t="s">
        <v>141</v>
      </c>
      <c r="AR16" s="6" t="s">
        <v>142</v>
      </c>
      <c r="AS16" s="6" t="s">
        <v>142</v>
      </c>
      <c r="AT16" s="6" t="s">
        <v>142</v>
      </c>
      <c r="AU16" s="6" t="s">
        <v>142</v>
      </c>
      <c r="AV16" s="6" t="s">
        <v>142</v>
      </c>
      <c r="AW16" s="6" t="s">
        <v>141</v>
      </c>
      <c r="AX16" s="6" t="s">
        <v>142</v>
      </c>
      <c r="AY16" s="6" t="s">
        <v>141</v>
      </c>
    </row>
    <row r="17" spans="1:51" x14ac:dyDescent="0.2">
      <c r="A17" t="s">
        <v>142</v>
      </c>
      <c r="B17" s="6" t="str">
        <f t="shared" si="0"/>
        <v>A</v>
      </c>
      <c r="C17" s="7">
        <v>895473</v>
      </c>
      <c r="D17" s="7">
        <v>895473</v>
      </c>
      <c r="E17" t="str">
        <f>_xlfn.XLOOKUP(D17,'Student Roster'!A:A,'Student Roster'!B:B, "Not Found")</f>
        <v>Pedroza, Serena</v>
      </c>
      <c r="F17">
        <f>_xlfn.XLOOKUP(D17,'Student Roster'!A:A,'Student Roster'!C:C, "Not Found")</f>
        <v>43957</v>
      </c>
      <c r="G17" t="s">
        <v>229</v>
      </c>
      <c r="H17">
        <v>43957</v>
      </c>
      <c r="J17" s="15" cm="1">
        <f t="array" ref="J17">SUMPRODUCT(--(Q17:AO17=IF(B17="A",$Q$5:$AO$5,$Q$6:$AO$6)))</f>
        <v>17</v>
      </c>
      <c r="K17" cm="1">
        <f t="array" ref="K17">SUMPRODUCT(--(AP17:AY17=IF(B17="A",$AP$5:$AY$5,$AP$6:$AY$6)))</f>
        <v>8</v>
      </c>
      <c r="L17" cm="1">
        <f t="array" ref="L17">SUMPRODUCT(--($Q17:$AO17 = IF($B17="A", $Q$5:$AO$5, $Q$6:$AO$6)),--IF($B17="A", (COLUMN($Q17:$AO17)&lt;&gt;COLUMN($W$8)), (COLUMN($Q17:$AO17)&lt;&gt;COLUMN($Z$8))))</f>
        <v>16</v>
      </c>
      <c r="M17">
        <f t="shared" si="1"/>
        <v>8</v>
      </c>
      <c r="N17">
        <f t="shared" si="2"/>
        <v>56</v>
      </c>
      <c r="O17" s="20">
        <f t="shared" si="3"/>
        <v>68.292682926829272</v>
      </c>
      <c r="P17" s="21">
        <f t="shared" si="4"/>
        <v>0.5354841350959586</v>
      </c>
      <c r="Q17" s="6" t="s">
        <v>141</v>
      </c>
      <c r="R17" s="6" t="s">
        <v>142</v>
      </c>
      <c r="S17" s="6" t="s">
        <v>142</v>
      </c>
      <c r="T17" s="6" t="s">
        <v>143</v>
      </c>
      <c r="U17" s="6" t="s">
        <v>143</v>
      </c>
      <c r="V17" s="6" t="s">
        <v>144</v>
      </c>
      <c r="W17" s="6" t="s">
        <v>143</v>
      </c>
      <c r="X17" s="6" t="s">
        <v>143</v>
      </c>
      <c r="Y17" s="6" t="s">
        <v>141</v>
      </c>
      <c r="Z17" s="6" t="s">
        <v>144</v>
      </c>
      <c r="AA17" s="6" t="s">
        <v>145</v>
      </c>
      <c r="AB17" s="6" t="s">
        <v>142</v>
      </c>
      <c r="AC17" s="6" t="s">
        <v>144</v>
      </c>
      <c r="AD17" s="6" t="s">
        <v>142</v>
      </c>
      <c r="AE17" s="6" t="s">
        <v>141</v>
      </c>
      <c r="AF17" s="6" t="s">
        <v>143</v>
      </c>
      <c r="AG17" s="6" t="s">
        <v>145</v>
      </c>
      <c r="AH17" s="6" t="s">
        <v>141</v>
      </c>
      <c r="AI17" s="6" t="s">
        <v>141</v>
      </c>
      <c r="AJ17" s="6" t="s">
        <v>144</v>
      </c>
      <c r="AK17" s="6" t="s">
        <v>143</v>
      </c>
      <c r="AL17" s="6" t="s">
        <v>144</v>
      </c>
      <c r="AM17" s="6" t="s">
        <v>141</v>
      </c>
      <c r="AN17" s="6" t="s">
        <v>144</v>
      </c>
      <c r="AO17" s="6" t="s">
        <v>141</v>
      </c>
      <c r="AP17" s="6" t="s">
        <v>142</v>
      </c>
      <c r="AQ17" s="6" t="s">
        <v>142</v>
      </c>
      <c r="AR17" s="6" t="s">
        <v>142</v>
      </c>
      <c r="AS17" s="6" t="s">
        <v>141</v>
      </c>
      <c r="AT17" s="6" t="s">
        <v>141</v>
      </c>
      <c r="AU17" s="6" t="s">
        <v>142</v>
      </c>
      <c r="AV17" s="6" t="s">
        <v>141</v>
      </c>
      <c r="AW17" s="6" t="s">
        <v>142</v>
      </c>
      <c r="AX17" s="6" t="s">
        <v>142</v>
      </c>
      <c r="AY17" s="6" t="s">
        <v>142</v>
      </c>
    </row>
    <row r="18" spans="1:51" x14ac:dyDescent="0.2">
      <c r="A18" t="s">
        <v>141</v>
      </c>
      <c r="B18" s="6" t="str">
        <f t="shared" si="0"/>
        <v>B</v>
      </c>
      <c r="C18" s="7">
        <v>778750</v>
      </c>
      <c r="D18" s="7">
        <v>778750</v>
      </c>
      <c r="E18" t="str">
        <f>_xlfn.XLOOKUP(D18,'Student Roster'!A:A,'Student Roster'!B:B, "Not Found")</f>
        <v>Garcia, Jovanna</v>
      </c>
      <c r="F18">
        <f>_xlfn.XLOOKUP(D18,'Student Roster'!A:A,'Student Roster'!C:C, "Not Found")</f>
        <v>43958</v>
      </c>
      <c r="G18" t="s">
        <v>177</v>
      </c>
      <c r="H18">
        <v>43958</v>
      </c>
      <c r="J18" s="15" cm="1">
        <f t="array" ref="J18">SUMPRODUCT(--(Q18:AO18=IF(B18="A",$Q$5:$AO$5,$Q$6:$AO$6)))</f>
        <v>16</v>
      </c>
      <c r="K18" cm="1">
        <f t="array" ref="K18">SUMPRODUCT(--(AP18:AY18=IF(B18="A",$AP$5:$AY$5,$AP$6:$AY$6)))</f>
        <v>7</v>
      </c>
      <c r="L18" cm="1">
        <f t="array" ref="L18">SUMPRODUCT(--($Q18:$AO18 = IF($B18="A", $Q$5:$AO$5, $Q$6:$AO$6)),--IF($B18="A", (COLUMN($Q18:$AO18)&lt;&gt;COLUMN($W$8)), (COLUMN($Q18:$AO18)&lt;&gt;COLUMN($Z$8))))</f>
        <v>15</v>
      </c>
      <c r="M18">
        <f t="shared" si="1"/>
        <v>7</v>
      </c>
      <c r="N18">
        <f t="shared" si="2"/>
        <v>52</v>
      </c>
      <c r="O18" s="20">
        <f t="shared" si="3"/>
        <v>63.414634146341463</v>
      </c>
      <c r="P18" s="21">
        <f t="shared" si="4"/>
        <v>0.26182148128770494</v>
      </c>
      <c r="Q18" s="6" t="s">
        <v>142</v>
      </c>
      <c r="R18" s="6" t="s">
        <v>142</v>
      </c>
      <c r="S18" s="6" t="s">
        <v>143</v>
      </c>
      <c r="T18" s="6" t="s">
        <v>144</v>
      </c>
      <c r="U18" s="6" t="s">
        <v>145</v>
      </c>
      <c r="V18" s="6" t="s">
        <v>144</v>
      </c>
      <c r="W18" s="6" t="s">
        <v>143</v>
      </c>
      <c r="X18" s="6" t="s">
        <v>144</v>
      </c>
      <c r="Y18" s="6" t="s">
        <v>142</v>
      </c>
      <c r="Z18" s="6" t="s">
        <v>143</v>
      </c>
      <c r="AA18" s="6" t="s">
        <v>143</v>
      </c>
      <c r="AB18" s="6" t="s">
        <v>143</v>
      </c>
      <c r="AC18" s="6" t="s">
        <v>142</v>
      </c>
      <c r="AD18" s="6" t="s">
        <v>143</v>
      </c>
      <c r="AE18" s="6" t="s">
        <v>143</v>
      </c>
      <c r="AF18" s="6" t="s">
        <v>142</v>
      </c>
      <c r="AG18" s="6" t="s">
        <v>142</v>
      </c>
      <c r="AH18" s="6" t="s">
        <v>143</v>
      </c>
      <c r="AI18" s="6" t="s">
        <v>142</v>
      </c>
      <c r="AJ18" s="6" t="s">
        <v>143</v>
      </c>
      <c r="AK18" s="6" t="s">
        <v>144</v>
      </c>
      <c r="AL18" s="6" t="s">
        <v>143</v>
      </c>
      <c r="AM18" s="6" t="s">
        <v>143</v>
      </c>
      <c r="AN18" s="6" t="s">
        <v>144</v>
      </c>
      <c r="AO18" s="6" t="s">
        <v>143</v>
      </c>
      <c r="AP18" s="6" t="s">
        <v>142</v>
      </c>
      <c r="AQ18" s="6" t="s">
        <v>141</v>
      </c>
      <c r="AR18" s="6" t="s">
        <v>141</v>
      </c>
      <c r="AS18" s="6" t="s">
        <v>142</v>
      </c>
      <c r="AT18" s="6" t="s">
        <v>142</v>
      </c>
      <c r="AU18" s="6" t="s">
        <v>142</v>
      </c>
      <c r="AV18" s="6" t="s">
        <v>142</v>
      </c>
      <c r="AW18" s="6" t="s">
        <v>141</v>
      </c>
      <c r="AX18" s="6" t="s">
        <v>142</v>
      </c>
      <c r="AY18" s="6" t="s">
        <v>142</v>
      </c>
    </row>
    <row r="19" spans="1:51" x14ac:dyDescent="0.2">
      <c r="A19" t="s">
        <v>142</v>
      </c>
      <c r="B19" s="6" t="str">
        <f t="shared" si="0"/>
        <v>A</v>
      </c>
      <c r="C19" s="7"/>
      <c r="D19" s="7">
        <v>997908</v>
      </c>
      <c r="E19" t="str">
        <f>_xlfn.XLOOKUP(D19,'Student Roster'!A:A,'Student Roster'!B:B, "Not Found")</f>
        <v>Landeros, Hidai</v>
      </c>
      <c r="F19">
        <f>_xlfn.XLOOKUP(D19,'Student Roster'!A:A,'Student Roster'!C:C, "Not Found")</f>
        <v>43958</v>
      </c>
      <c r="G19" t="s">
        <v>199</v>
      </c>
      <c r="H19">
        <v>43958</v>
      </c>
      <c r="J19" s="15" cm="1">
        <f t="array" ref="J19">SUMPRODUCT(--(Q19:AO19=IF(B19="A",$Q$5:$AO$5,$Q$6:$AO$6)))</f>
        <v>9</v>
      </c>
      <c r="K19" cm="1">
        <f t="array" ref="K19">SUMPRODUCT(--(AP19:AY19=IF(B19="A",$AP$5:$AY$5,$AP$6:$AY$6)))</f>
        <v>4</v>
      </c>
      <c r="L19" cm="1">
        <f t="array" ref="L19">SUMPRODUCT(--($Q19:$AO19 = IF($B19="A", $Q$5:$AO$5, $Q$6:$AO$6)),--IF($B19="A", (COLUMN($Q19:$AO19)&lt;&gt;COLUMN($W$8)), (COLUMN($Q19:$AO19)&lt;&gt;COLUMN($Z$8))))</f>
        <v>8</v>
      </c>
      <c r="M19">
        <f t="shared" si="1"/>
        <v>4</v>
      </c>
      <c r="N19">
        <f t="shared" si="2"/>
        <v>28</v>
      </c>
      <c r="O19" s="20">
        <f t="shared" si="3"/>
        <v>34.146341463414636</v>
      </c>
      <c r="P19" s="21">
        <f t="shared" si="4"/>
        <v>-1.3801544415618157</v>
      </c>
      <c r="Q19" s="6" t="s">
        <v>144</v>
      </c>
      <c r="R19" s="6" t="s">
        <v>143</v>
      </c>
      <c r="S19" s="6" t="s">
        <v>144</v>
      </c>
      <c r="T19" s="6" t="s">
        <v>145</v>
      </c>
      <c r="U19" s="6" t="s">
        <v>141</v>
      </c>
      <c r="V19" s="6" t="s">
        <v>144</v>
      </c>
      <c r="W19" s="6" t="s">
        <v>143</v>
      </c>
      <c r="X19" s="6" t="s">
        <v>141</v>
      </c>
      <c r="Y19" s="6" t="s">
        <v>143</v>
      </c>
      <c r="Z19" s="6" t="s">
        <v>145</v>
      </c>
      <c r="AA19" s="6" t="s">
        <v>145</v>
      </c>
      <c r="AB19" s="6" t="s">
        <v>141</v>
      </c>
      <c r="AC19" s="6" t="s">
        <v>143</v>
      </c>
      <c r="AD19" s="6" t="s">
        <v>143</v>
      </c>
      <c r="AE19" s="6" t="s">
        <v>141</v>
      </c>
      <c r="AF19" s="6" t="s">
        <v>143</v>
      </c>
      <c r="AG19" s="6" t="s">
        <v>145</v>
      </c>
      <c r="AH19" s="6" t="s">
        <v>144</v>
      </c>
      <c r="AI19" s="6" t="s">
        <v>141</v>
      </c>
      <c r="AJ19" s="6" t="s">
        <v>142</v>
      </c>
      <c r="AK19" s="6" t="s">
        <v>144</v>
      </c>
      <c r="AL19" s="6" t="s">
        <v>143</v>
      </c>
      <c r="AM19" s="6" t="s">
        <v>142</v>
      </c>
      <c r="AN19" s="6" t="s">
        <v>144</v>
      </c>
      <c r="AO19" s="6" t="s">
        <v>141</v>
      </c>
      <c r="AP19" s="6" t="s">
        <v>142</v>
      </c>
      <c r="AQ19" s="6" t="s">
        <v>142</v>
      </c>
      <c r="AR19" s="6" t="s">
        <v>141</v>
      </c>
      <c r="AS19" s="6" t="s">
        <v>142</v>
      </c>
      <c r="AT19" s="6" t="s">
        <v>142</v>
      </c>
      <c r="AU19" s="6" t="s">
        <v>142</v>
      </c>
      <c r="AV19" s="6" t="s">
        <v>141</v>
      </c>
      <c r="AW19" s="6" t="s">
        <v>142</v>
      </c>
      <c r="AX19" s="6" t="s">
        <v>141</v>
      </c>
      <c r="AY19" s="6" t="s">
        <v>142</v>
      </c>
    </row>
    <row r="20" spans="1:51" x14ac:dyDescent="0.2">
      <c r="A20" t="s">
        <v>141</v>
      </c>
      <c r="B20" s="6" t="str">
        <f t="shared" si="0"/>
        <v>B</v>
      </c>
      <c r="C20" s="7">
        <v>547169</v>
      </c>
      <c r="D20" s="7">
        <v>547169</v>
      </c>
      <c r="E20" t="str">
        <f>_xlfn.XLOOKUP(D20,'Student Roster'!A:A,'Student Roster'!B:B, "Not Found")</f>
        <v>San Roman, Jesus</v>
      </c>
      <c r="F20">
        <f>_xlfn.XLOOKUP(D20,'Student Roster'!A:A,'Student Roster'!C:C, "Not Found")</f>
        <v>43958</v>
      </c>
      <c r="G20" t="s">
        <v>241</v>
      </c>
      <c r="H20">
        <v>43958</v>
      </c>
      <c r="J20" s="15" cm="1">
        <f t="array" ref="J20">SUMPRODUCT(--(Q20:AO20=IF(B20="A",$Q$5:$AO$5,$Q$6:$AO$6)))</f>
        <v>17</v>
      </c>
      <c r="K20" cm="1">
        <f t="array" ref="K20">SUMPRODUCT(--(AP20:AY20=IF(B20="A",$AP$5:$AY$5,$AP$6:$AY$6)))</f>
        <v>8</v>
      </c>
      <c r="L20" cm="1">
        <f t="array" ref="L20">SUMPRODUCT(--($Q20:$AO20 = IF($B20="A", $Q$5:$AO$5, $Q$6:$AO$6)),--IF($B20="A", (COLUMN($Q20:$AO20)&lt;&gt;COLUMN($W$8)), (COLUMN($Q20:$AO20)&lt;&gt;COLUMN($Z$8))))</f>
        <v>16</v>
      </c>
      <c r="M20">
        <f t="shared" si="1"/>
        <v>8</v>
      </c>
      <c r="N20">
        <f t="shared" si="2"/>
        <v>56</v>
      </c>
      <c r="O20" s="20">
        <f t="shared" si="3"/>
        <v>68.292682926829272</v>
      </c>
      <c r="P20" s="21">
        <f t="shared" si="4"/>
        <v>0.5354841350959586</v>
      </c>
      <c r="Q20" s="6" t="s">
        <v>143</v>
      </c>
      <c r="R20" s="6" t="s">
        <v>142</v>
      </c>
      <c r="S20" s="6" t="s">
        <v>143</v>
      </c>
      <c r="T20" s="6" t="s">
        <v>144</v>
      </c>
      <c r="U20" s="6" t="s">
        <v>143</v>
      </c>
      <c r="V20" s="6" t="s">
        <v>143</v>
      </c>
      <c r="W20" s="6" t="s">
        <v>143</v>
      </c>
      <c r="X20" s="6" t="s">
        <v>144</v>
      </c>
      <c r="Y20" s="6" t="s">
        <v>142</v>
      </c>
      <c r="Z20" s="6" t="s">
        <v>143</v>
      </c>
      <c r="AA20" s="6" t="s">
        <v>143</v>
      </c>
      <c r="AB20" s="6" t="s">
        <v>143</v>
      </c>
      <c r="AC20" s="6" t="s">
        <v>141</v>
      </c>
      <c r="AD20" s="6" t="s">
        <v>142</v>
      </c>
      <c r="AE20" s="6" t="s">
        <v>143</v>
      </c>
      <c r="AF20" s="6" t="s">
        <v>144</v>
      </c>
      <c r="AG20" s="6" t="s">
        <v>141</v>
      </c>
      <c r="AH20" s="6" t="s">
        <v>141</v>
      </c>
      <c r="AI20" s="6" t="s">
        <v>143</v>
      </c>
      <c r="AJ20" s="6" t="s">
        <v>144</v>
      </c>
      <c r="AK20" s="6" t="s">
        <v>144</v>
      </c>
      <c r="AL20" s="6" t="s">
        <v>144</v>
      </c>
      <c r="AM20" s="6" t="s">
        <v>142</v>
      </c>
      <c r="AN20" s="6" t="s">
        <v>144</v>
      </c>
      <c r="AO20" s="6" t="s">
        <v>141</v>
      </c>
      <c r="AP20" s="6" t="s">
        <v>142</v>
      </c>
      <c r="AQ20" s="6" t="s">
        <v>141</v>
      </c>
      <c r="AR20" s="6" t="s">
        <v>141</v>
      </c>
      <c r="AS20" s="6" t="s">
        <v>142</v>
      </c>
      <c r="AT20" s="6" t="s">
        <v>142</v>
      </c>
      <c r="AU20" s="6" t="s">
        <v>142</v>
      </c>
      <c r="AV20" s="6" t="s">
        <v>142</v>
      </c>
      <c r="AW20" s="6" t="s">
        <v>141</v>
      </c>
      <c r="AX20" s="6" t="s">
        <v>142</v>
      </c>
      <c r="AY20" s="6" t="s">
        <v>141</v>
      </c>
    </row>
    <row r="21" spans="1:51" x14ac:dyDescent="0.2">
      <c r="A21" t="s">
        <v>141</v>
      </c>
      <c r="B21" s="6" t="str">
        <f t="shared" si="0"/>
        <v>B</v>
      </c>
      <c r="C21" s="7">
        <v>934815</v>
      </c>
      <c r="D21" s="7">
        <v>934915</v>
      </c>
      <c r="E21" t="str">
        <f>_xlfn.XLOOKUP(D21,'Student Roster'!A:A,'Student Roster'!B:B, "Not Found")</f>
        <v>Rodriguez, Ericke</v>
      </c>
      <c r="F21">
        <f>_xlfn.XLOOKUP(D21,'Student Roster'!A:A,'Student Roster'!C:C, "Not Found")</f>
        <v>43958</v>
      </c>
      <c r="G21" t="s">
        <v>235</v>
      </c>
      <c r="H21">
        <v>43958</v>
      </c>
      <c r="J21" s="15" cm="1">
        <f t="array" ref="J21">SUMPRODUCT(--(Q21:AO21=IF(B21="A",$Q$5:$AO$5,$Q$6:$AO$6)))</f>
        <v>18</v>
      </c>
      <c r="K21" cm="1">
        <f t="array" ref="K21">SUMPRODUCT(--(AP21:AY21=IF(B21="A",$AP$5:$AY$5,$AP$6:$AY$6)))</f>
        <v>6</v>
      </c>
      <c r="L21" cm="1">
        <f t="array" ref="L21">SUMPRODUCT(--($Q21:$AO21 = IF($B21="A", $Q$5:$AO$5, $Q$6:$AO$6)),--IF($B21="A", (COLUMN($Q21:$AO21)&lt;&gt;COLUMN($W$8)), (COLUMN($Q21:$AO21)&lt;&gt;COLUMN($Z$8))))</f>
        <v>17</v>
      </c>
      <c r="M21">
        <f t="shared" si="1"/>
        <v>6</v>
      </c>
      <c r="N21">
        <f t="shared" si="2"/>
        <v>57</v>
      </c>
      <c r="O21" s="20">
        <f t="shared" si="3"/>
        <v>69.512195121951223</v>
      </c>
      <c r="P21" s="21">
        <f t="shared" si="4"/>
        <v>0.60389979854802189</v>
      </c>
      <c r="Q21" s="6" t="s">
        <v>142</v>
      </c>
      <c r="R21" s="6" t="s">
        <v>142</v>
      </c>
      <c r="S21" s="6" t="s">
        <v>143</v>
      </c>
      <c r="T21" s="6" t="s">
        <v>144</v>
      </c>
      <c r="U21" s="6" t="s">
        <v>143</v>
      </c>
      <c r="V21" s="6" t="s">
        <v>141</v>
      </c>
      <c r="W21" s="6" t="s">
        <v>143</v>
      </c>
      <c r="X21" s="6" t="s">
        <v>144</v>
      </c>
      <c r="Y21" s="6" t="s">
        <v>143</v>
      </c>
      <c r="Z21" s="6" t="s">
        <v>143</v>
      </c>
      <c r="AA21" s="6" t="s">
        <v>143</v>
      </c>
      <c r="AB21" s="6" t="s">
        <v>143</v>
      </c>
      <c r="AC21" s="6" t="s">
        <v>144</v>
      </c>
      <c r="AD21" s="6" t="s">
        <v>141</v>
      </c>
      <c r="AE21" s="6" t="s">
        <v>143</v>
      </c>
      <c r="AF21" s="6" t="s">
        <v>145</v>
      </c>
      <c r="AG21" s="6" t="s">
        <v>141</v>
      </c>
      <c r="AH21" s="6" t="s">
        <v>141</v>
      </c>
      <c r="AI21" s="6" t="s">
        <v>142</v>
      </c>
      <c r="AJ21" s="6" t="s">
        <v>141</v>
      </c>
      <c r="AK21" s="6" t="s">
        <v>144</v>
      </c>
      <c r="AL21" s="6" t="s">
        <v>142</v>
      </c>
      <c r="AM21" s="6" t="s">
        <v>144</v>
      </c>
      <c r="AN21" s="6" t="s">
        <v>144</v>
      </c>
      <c r="AO21" s="6" t="s">
        <v>141</v>
      </c>
      <c r="AP21" s="6" t="s">
        <v>142</v>
      </c>
      <c r="AQ21" s="6" t="s">
        <v>141</v>
      </c>
      <c r="AR21" s="6" t="s">
        <v>142</v>
      </c>
      <c r="AS21" s="6" t="s">
        <v>141</v>
      </c>
      <c r="AT21" s="6" t="s">
        <v>142</v>
      </c>
      <c r="AU21" s="6" t="s">
        <v>142</v>
      </c>
      <c r="AV21" s="6" t="s">
        <v>142</v>
      </c>
      <c r="AW21" s="6" t="s">
        <v>141</v>
      </c>
      <c r="AX21" s="6" t="s">
        <v>142</v>
      </c>
      <c r="AY21" s="6" t="s">
        <v>141</v>
      </c>
    </row>
    <row r="22" spans="1:51" x14ac:dyDescent="0.2">
      <c r="A22" t="s">
        <v>149</v>
      </c>
      <c r="B22" s="14" t="s">
        <v>142</v>
      </c>
      <c r="C22" s="7">
        <v>1063699</v>
      </c>
      <c r="D22" s="7">
        <v>1063699</v>
      </c>
      <c r="E22" t="str">
        <f>_xlfn.XLOOKUP(D22,'Student Roster'!A:A,'Student Roster'!B:B, "Not Found")</f>
        <v>Garcia-Hernandez, Allison</v>
      </c>
      <c r="F22">
        <f>_xlfn.XLOOKUP(D22,'Student Roster'!A:A,'Student Roster'!C:C, "Not Found")</f>
        <v>43958</v>
      </c>
      <c r="G22" t="s">
        <v>181</v>
      </c>
      <c r="H22">
        <v>43958</v>
      </c>
      <c r="J22" s="15" cm="1">
        <f t="array" ref="J22">SUMPRODUCT(--(Q22:AO22=IF(B22="A",$Q$5:$AO$5,$Q$6:$AO$6)))</f>
        <v>12</v>
      </c>
      <c r="K22" cm="1">
        <f t="array" ref="K22">SUMPRODUCT(--(AP22:AY22=IF(B22="A",$AP$5:$AY$5,$AP$6:$AY$6)))</f>
        <v>8</v>
      </c>
      <c r="L22" cm="1">
        <f t="array" ref="L22">SUMPRODUCT(--($Q22:$AO22 = IF($B22="A", $Q$5:$AO$5, $Q$6:$AO$6)),--IF($B22="A", (COLUMN($Q22:$AO22)&lt;&gt;COLUMN($W$8)), (COLUMN($Q22:$AO22)&lt;&gt;COLUMN($Z$8))))</f>
        <v>12</v>
      </c>
      <c r="M22">
        <f t="shared" si="1"/>
        <v>8</v>
      </c>
      <c r="N22">
        <f t="shared" si="2"/>
        <v>44</v>
      </c>
      <c r="O22" s="20">
        <f t="shared" si="3"/>
        <v>53.658536585365852</v>
      </c>
      <c r="P22" s="21">
        <f t="shared" si="4"/>
        <v>-0.28550382632880206</v>
      </c>
      <c r="Q22" s="6" t="s">
        <v>144</v>
      </c>
      <c r="R22" s="6" t="s">
        <v>142</v>
      </c>
      <c r="S22" s="6" t="s">
        <v>142</v>
      </c>
      <c r="T22" s="6" t="s">
        <v>143</v>
      </c>
      <c r="U22" s="6" t="s">
        <v>149</v>
      </c>
      <c r="V22" s="6" t="s">
        <v>141</v>
      </c>
      <c r="W22" s="6" t="s">
        <v>142</v>
      </c>
      <c r="X22" s="6" t="s">
        <v>141</v>
      </c>
      <c r="Y22" s="6" t="s">
        <v>143</v>
      </c>
      <c r="Z22" s="6" t="s">
        <v>144</v>
      </c>
      <c r="AA22" s="6" t="s">
        <v>145</v>
      </c>
      <c r="AB22" s="6" t="s">
        <v>143</v>
      </c>
      <c r="AC22" s="6" t="s">
        <v>144</v>
      </c>
      <c r="AD22" s="6" t="s">
        <v>143</v>
      </c>
      <c r="AE22" s="6" t="s">
        <v>144</v>
      </c>
      <c r="AF22" s="6" t="s">
        <v>141</v>
      </c>
      <c r="AG22" s="6" t="s">
        <v>144</v>
      </c>
      <c r="AH22" s="6" t="s">
        <v>141</v>
      </c>
      <c r="AI22" s="6" t="s">
        <v>141</v>
      </c>
      <c r="AJ22" s="6" t="s">
        <v>141</v>
      </c>
      <c r="AK22" s="6" t="s">
        <v>143</v>
      </c>
      <c r="AL22" s="6" t="s">
        <v>149</v>
      </c>
      <c r="AM22" s="6" t="s">
        <v>141</v>
      </c>
      <c r="AN22" s="6" t="s">
        <v>144</v>
      </c>
      <c r="AO22" s="6" t="s">
        <v>143</v>
      </c>
      <c r="AP22" s="6" t="s">
        <v>142</v>
      </c>
      <c r="AQ22" s="6" t="s">
        <v>142</v>
      </c>
      <c r="AR22" s="6" t="s">
        <v>142</v>
      </c>
      <c r="AS22" s="6" t="s">
        <v>141</v>
      </c>
      <c r="AT22" s="6" t="s">
        <v>141</v>
      </c>
      <c r="AU22" s="6" t="s">
        <v>142</v>
      </c>
      <c r="AV22" s="6" t="s">
        <v>141</v>
      </c>
      <c r="AW22" s="6" t="s">
        <v>142</v>
      </c>
      <c r="AX22" s="6" t="s">
        <v>142</v>
      </c>
      <c r="AY22" s="6" t="s">
        <v>142</v>
      </c>
    </row>
    <row r="23" spans="1:51" x14ac:dyDescent="0.2">
      <c r="A23" t="s">
        <v>149</v>
      </c>
      <c r="B23" s="14" t="s">
        <v>141</v>
      </c>
      <c r="C23" s="7">
        <v>994114</v>
      </c>
      <c r="D23" s="7">
        <v>994114</v>
      </c>
      <c r="E23" t="str">
        <f>_xlfn.XLOOKUP(D23,'Student Roster'!A:A,'Student Roster'!B:B, "Not Found")</f>
        <v>Corea, Kristie</v>
      </c>
      <c r="F23">
        <f>_xlfn.XLOOKUP(D23,'Student Roster'!A:A,'Student Roster'!C:C, "Not Found")</f>
        <v>43957</v>
      </c>
      <c r="G23" t="s">
        <v>165</v>
      </c>
      <c r="H23">
        <v>43957</v>
      </c>
      <c r="J23" s="15" cm="1">
        <f t="array" ref="J23">SUMPRODUCT(--(Q23:AO23=IF(B23="A",$Q$5:$AO$5,$Q$6:$AO$6)))</f>
        <v>12</v>
      </c>
      <c r="K23" cm="1">
        <f t="array" ref="K23">SUMPRODUCT(--(AP23:AY23=IF(B23="A",$AP$5:$AY$5,$AP$6:$AY$6)))</f>
        <v>5</v>
      </c>
      <c r="L23" cm="1">
        <f t="array" ref="L23">SUMPRODUCT(--($Q23:$AO23 = IF($B23="A", $Q$5:$AO$5, $Q$6:$AO$6)),--IF($B23="A", (COLUMN($Q23:$AO23)&lt;&gt;COLUMN($W$8)), (COLUMN($Q23:$AO23)&lt;&gt;COLUMN($Z$8))))</f>
        <v>11</v>
      </c>
      <c r="M23">
        <f t="shared" si="1"/>
        <v>5</v>
      </c>
      <c r="N23">
        <f t="shared" si="2"/>
        <v>38</v>
      </c>
      <c r="O23" s="20">
        <f t="shared" si="3"/>
        <v>46.341463414634148</v>
      </c>
      <c r="P23" s="21">
        <f t="shared" si="4"/>
        <v>-0.69599780704118197</v>
      </c>
      <c r="Q23" s="6" t="s">
        <v>143</v>
      </c>
      <c r="R23" s="6" t="s">
        <v>142</v>
      </c>
      <c r="S23" s="6" t="s">
        <v>145</v>
      </c>
      <c r="T23" s="6" t="s">
        <v>142</v>
      </c>
      <c r="U23" s="6" t="s">
        <v>143</v>
      </c>
      <c r="V23" s="6" t="s">
        <v>142</v>
      </c>
      <c r="W23" s="6" t="s">
        <v>143</v>
      </c>
      <c r="X23" s="6" t="s">
        <v>144</v>
      </c>
      <c r="Y23" s="6" t="s">
        <v>143</v>
      </c>
      <c r="Z23" s="6" t="s">
        <v>143</v>
      </c>
      <c r="AA23" s="6" t="s">
        <v>143</v>
      </c>
      <c r="AB23" s="6" t="s">
        <v>141</v>
      </c>
      <c r="AC23" s="6" t="s">
        <v>144</v>
      </c>
      <c r="AD23" s="6" t="s">
        <v>143</v>
      </c>
      <c r="AE23" s="6" t="s">
        <v>141</v>
      </c>
      <c r="AF23" s="6" t="s">
        <v>145</v>
      </c>
      <c r="AG23" s="6" t="s">
        <v>144</v>
      </c>
      <c r="AH23" s="6" t="s">
        <v>142</v>
      </c>
      <c r="AI23" s="6" t="s">
        <v>141</v>
      </c>
      <c r="AJ23" s="6" t="s">
        <v>141</v>
      </c>
      <c r="AK23" s="6" t="s">
        <v>144</v>
      </c>
      <c r="AL23" s="6" t="s">
        <v>144</v>
      </c>
      <c r="AM23" s="6" t="s">
        <v>141</v>
      </c>
      <c r="AN23" s="6" t="s">
        <v>143</v>
      </c>
      <c r="AO23" s="6" t="s">
        <v>144</v>
      </c>
      <c r="AP23" s="6" t="s">
        <v>142</v>
      </c>
      <c r="AQ23" s="6" t="s">
        <v>141</v>
      </c>
      <c r="AR23" s="6" t="s">
        <v>142</v>
      </c>
      <c r="AS23" s="6" t="s">
        <v>141</v>
      </c>
      <c r="AT23" s="6" t="s">
        <v>142</v>
      </c>
      <c r="AU23" s="6" t="s">
        <v>142</v>
      </c>
      <c r="AV23" s="6" t="s">
        <v>142</v>
      </c>
      <c r="AW23" s="6" t="s">
        <v>141</v>
      </c>
      <c r="AX23" s="6" t="s">
        <v>142</v>
      </c>
      <c r="AY23" s="6" t="s">
        <v>142</v>
      </c>
    </row>
    <row r="24" spans="1:51" x14ac:dyDescent="0.2">
      <c r="A24" t="s">
        <v>141</v>
      </c>
      <c r="B24" s="6" t="str">
        <f t="shared" ref="B24:B48" si="5">A24</f>
        <v>B</v>
      </c>
      <c r="C24" s="7">
        <v>737921</v>
      </c>
      <c r="D24" s="7">
        <v>737921</v>
      </c>
      <c r="E24" t="str">
        <f>_xlfn.XLOOKUP(D24,'Student Roster'!A:A,'Student Roster'!B:B, "Not Found")</f>
        <v>Fang, Pa</v>
      </c>
      <c r="F24">
        <f>_xlfn.XLOOKUP(D24,'Student Roster'!A:A,'Student Roster'!C:C, "Not Found")</f>
        <v>43957</v>
      </c>
      <c r="G24" t="s">
        <v>171</v>
      </c>
      <c r="H24">
        <v>43957</v>
      </c>
      <c r="J24" s="15" cm="1">
        <f t="array" ref="J24">SUMPRODUCT(--(Q24:AO24=IF(B24="A",$Q$5:$AO$5,$Q$6:$AO$6)))</f>
        <v>8</v>
      </c>
      <c r="K24" cm="1">
        <f t="array" ref="K24">SUMPRODUCT(--(AP24:AY24=IF(B24="A",$AP$5:$AY$5,$AP$6:$AY$6)))</f>
        <v>5</v>
      </c>
      <c r="L24" cm="1">
        <f t="array" ref="L24">SUMPRODUCT(--($Q24:$AO24 = IF($B24="A", $Q$5:$AO$5, $Q$6:$AO$6)),--IF($B24="A", (COLUMN($Q24:$AO24)&lt;&gt;COLUMN($W$8)), (COLUMN($Q24:$AO24)&lt;&gt;COLUMN($Z$8))))</f>
        <v>8</v>
      </c>
      <c r="M24">
        <f t="shared" si="1"/>
        <v>5</v>
      </c>
      <c r="N24">
        <f t="shared" si="2"/>
        <v>29</v>
      </c>
      <c r="O24" s="20">
        <f t="shared" si="3"/>
        <v>35.365853658536587</v>
      </c>
      <c r="P24" s="21">
        <f t="shared" si="4"/>
        <v>-1.3117387781097523</v>
      </c>
      <c r="Q24" s="6" t="s">
        <v>143</v>
      </c>
      <c r="R24" s="6" t="s">
        <v>144</v>
      </c>
      <c r="S24" s="6" t="s">
        <v>143</v>
      </c>
      <c r="T24" s="6" t="s">
        <v>144</v>
      </c>
      <c r="U24" s="6" t="s">
        <v>143</v>
      </c>
      <c r="V24" s="6" t="s">
        <v>142</v>
      </c>
      <c r="W24" s="6" t="s">
        <v>141</v>
      </c>
      <c r="X24" s="6" t="s">
        <v>141</v>
      </c>
      <c r="Y24" s="6" t="s">
        <v>144</v>
      </c>
      <c r="Z24" s="6" t="s">
        <v>142</v>
      </c>
      <c r="AA24" s="6" t="s">
        <v>141</v>
      </c>
      <c r="AB24" s="6" t="s">
        <v>141</v>
      </c>
      <c r="AC24" s="6" t="s">
        <v>143</v>
      </c>
      <c r="AD24" s="6" t="s">
        <v>142</v>
      </c>
      <c r="AE24" s="6" t="s">
        <v>143</v>
      </c>
      <c r="AF24" s="6" t="s">
        <v>144</v>
      </c>
      <c r="AG24" s="6" t="s">
        <v>141</v>
      </c>
      <c r="AH24" s="6" t="s">
        <v>143</v>
      </c>
      <c r="AI24" s="6" t="s">
        <v>143</v>
      </c>
      <c r="AJ24" s="6" t="s">
        <v>141</v>
      </c>
      <c r="AK24" s="6" t="s">
        <v>144</v>
      </c>
      <c r="AL24" s="6" t="s">
        <v>141</v>
      </c>
      <c r="AM24" s="6" t="s">
        <v>143</v>
      </c>
      <c r="AN24" s="6" t="s">
        <v>144</v>
      </c>
      <c r="AO24" s="6" t="s">
        <v>143</v>
      </c>
      <c r="AP24" s="6" t="s">
        <v>142</v>
      </c>
      <c r="AQ24" s="6" t="s">
        <v>141</v>
      </c>
      <c r="AR24" s="6" t="s">
        <v>141</v>
      </c>
      <c r="AS24" s="6" t="s">
        <v>142</v>
      </c>
      <c r="AT24" s="6" t="s">
        <v>142</v>
      </c>
      <c r="AU24" s="6" t="s">
        <v>141</v>
      </c>
      <c r="AV24" s="6" t="s">
        <v>142</v>
      </c>
      <c r="AW24" s="6" t="s">
        <v>141</v>
      </c>
      <c r="AX24" s="6" t="s">
        <v>141</v>
      </c>
      <c r="AY24" s="6" t="s">
        <v>142</v>
      </c>
    </row>
    <row r="25" spans="1:51" x14ac:dyDescent="0.2">
      <c r="A25" t="s">
        <v>142</v>
      </c>
      <c r="B25" s="6" t="str">
        <f t="shared" si="5"/>
        <v>A</v>
      </c>
      <c r="C25" s="7">
        <v>871988</v>
      </c>
      <c r="D25" s="7">
        <v>871988</v>
      </c>
      <c r="E25" t="str">
        <f>_xlfn.XLOOKUP(D25,'Student Roster'!A:A,'Student Roster'!B:B, "Not Found")</f>
        <v>Hernan, Jazmine</v>
      </c>
      <c r="F25">
        <f>_xlfn.XLOOKUP(D25,'Student Roster'!A:A,'Student Roster'!C:C, "Not Found")</f>
        <v>43957</v>
      </c>
      <c r="G25" t="s">
        <v>187</v>
      </c>
      <c r="H25">
        <v>43957</v>
      </c>
      <c r="J25" s="15" cm="1">
        <f t="array" ref="J25">SUMPRODUCT(--(Q25:AO25=IF(B25="A",$Q$5:$AO$5,$Q$6:$AO$6)))</f>
        <v>13</v>
      </c>
      <c r="K25" cm="1">
        <f t="array" ref="K25">SUMPRODUCT(--(AP25:AY25=IF(B25="A",$AP$5:$AY$5,$AP$6:$AY$6)))</f>
        <v>7</v>
      </c>
      <c r="L25" cm="1">
        <f t="array" ref="L25">SUMPRODUCT(--($Q25:$AO25 = IF($B25="A", $Q$5:$AO$5, $Q$6:$AO$6)),--IF($B25="A", (COLUMN($Q25:$AO25)&lt;&gt;COLUMN($W$8)), (COLUMN($Q25:$AO25)&lt;&gt;COLUMN($Z$8))))</f>
        <v>12</v>
      </c>
      <c r="M25">
        <f t="shared" si="1"/>
        <v>7</v>
      </c>
      <c r="N25">
        <f t="shared" si="2"/>
        <v>43</v>
      </c>
      <c r="O25" s="20">
        <f t="shared" si="3"/>
        <v>52.439024390243901</v>
      </c>
      <c r="P25" s="21">
        <f t="shared" si="4"/>
        <v>-0.35391948978086535</v>
      </c>
      <c r="Q25" s="6" t="s">
        <v>143</v>
      </c>
      <c r="R25" s="6" t="s">
        <v>143</v>
      </c>
      <c r="S25" s="6" t="s">
        <v>141</v>
      </c>
      <c r="T25" s="6" t="s">
        <v>143</v>
      </c>
      <c r="U25" s="6" t="s">
        <v>143</v>
      </c>
      <c r="V25" s="6" t="s">
        <v>142</v>
      </c>
      <c r="W25" s="6" t="s">
        <v>143</v>
      </c>
      <c r="X25" s="6" t="s">
        <v>141</v>
      </c>
      <c r="Y25" s="6" t="s">
        <v>141</v>
      </c>
      <c r="Z25" s="6" t="s">
        <v>144</v>
      </c>
      <c r="AA25" s="6" t="s">
        <v>143</v>
      </c>
      <c r="AB25" s="6" t="s">
        <v>143</v>
      </c>
      <c r="AC25" s="6" t="s">
        <v>143</v>
      </c>
      <c r="AD25" s="6" t="s">
        <v>144</v>
      </c>
      <c r="AE25" s="6" t="s">
        <v>142</v>
      </c>
      <c r="AF25" s="6" t="s">
        <v>141</v>
      </c>
      <c r="AG25" s="6" t="s">
        <v>144</v>
      </c>
      <c r="AH25" s="6" t="s">
        <v>141</v>
      </c>
      <c r="AI25" s="6" t="s">
        <v>142</v>
      </c>
      <c r="AJ25" s="6" t="s">
        <v>144</v>
      </c>
      <c r="AK25" s="6" t="s">
        <v>143</v>
      </c>
      <c r="AL25" s="6" t="s">
        <v>144</v>
      </c>
      <c r="AM25" s="6" t="s">
        <v>143</v>
      </c>
      <c r="AN25" s="6" t="s">
        <v>144</v>
      </c>
      <c r="AO25" s="6" t="s">
        <v>144</v>
      </c>
      <c r="AP25" s="6" t="s">
        <v>141</v>
      </c>
      <c r="AQ25" s="6" t="s">
        <v>142</v>
      </c>
      <c r="AR25" s="6" t="s">
        <v>142</v>
      </c>
      <c r="AS25" s="6" t="s">
        <v>141</v>
      </c>
      <c r="AT25" s="6" t="s">
        <v>142</v>
      </c>
      <c r="AU25" s="6" t="s">
        <v>142</v>
      </c>
      <c r="AV25" s="6" t="s">
        <v>141</v>
      </c>
      <c r="AW25" s="6" t="s">
        <v>141</v>
      </c>
      <c r="AX25" s="6" t="s">
        <v>142</v>
      </c>
      <c r="AY25" s="6" t="s">
        <v>142</v>
      </c>
    </row>
    <row r="26" spans="1:51" x14ac:dyDescent="0.2">
      <c r="A26" t="s">
        <v>142</v>
      </c>
      <c r="B26" s="6" t="str">
        <f t="shared" si="5"/>
        <v>A</v>
      </c>
      <c r="C26" s="7">
        <v>576373</v>
      </c>
      <c r="D26" s="7">
        <v>576373</v>
      </c>
      <c r="E26" t="str">
        <f>_xlfn.XLOOKUP(D26,'Student Roster'!A:A,'Student Roster'!B:B, "Not Found")</f>
        <v>Ceballos, Ariel</v>
      </c>
      <c r="F26">
        <f>_xlfn.XLOOKUP(D26,'Student Roster'!A:A,'Student Roster'!C:C, "Not Found")</f>
        <v>43957</v>
      </c>
      <c r="G26" t="s">
        <v>163</v>
      </c>
      <c r="H26">
        <v>43957</v>
      </c>
      <c r="J26" s="15" cm="1">
        <f t="array" ref="J26">SUMPRODUCT(--(Q26:AO26=IF(B26="A",$Q$5:$AO$5,$Q$6:$AO$6)))</f>
        <v>18</v>
      </c>
      <c r="K26" cm="1">
        <f t="array" ref="K26">SUMPRODUCT(--(AP26:AY26=IF(B26="A",$AP$5:$AY$5,$AP$6:$AY$6)))</f>
        <v>8</v>
      </c>
      <c r="L26" cm="1">
        <f t="array" ref="L26">SUMPRODUCT(--($Q26:$AO26 = IF($B26="A", $Q$5:$AO$5, $Q$6:$AO$6)),--IF($B26="A", (COLUMN($Q26:$AO26)&lt;&gt;COLUMN($W$8)), (COLUMN($Q26:$AO26)&lt;&gt;COLUMN($Z$8))))</f>
        <v>18</v>
      </c>
      <c r="M26">
        <f t="shared" si="1"/>
        <v>8</v>
      </c>
      <c r="N26">
        <f t="shared" si="2"/>
        <v>62</v>
      </c>
      <c r="O26" s="20">
        <f t="shared" si="3"/>
        <v>75.609756097560975</v>
      </c>
      <c r="P26" s="21">
        <f t="shared" si="4"/>
        <v>0.94597811580833857</v>
      </c>
      <c r="Q26" s="6" t="s">
        <v>141</v>
      </c>
      <c r="R26" s="6" t="s">
        <v>142</v>
      </c>
      <c r="S26" s="6" t="s">
        <v>141</v>
      </c>
      <c r="T26" s="6" t="s">
        <v>143</v>
      </c>
      <c r="U26" s="6" t="s">
        <v>143</v>
      </c>
      <c r="V26" s="6" t="s">
        <v>144</v>
      </c>
      <c r="W26" s="6" t="s">
        <v>142</v>
      </c>
      <c r="X26" s="6" t="s">
        <v>142</v>
      </c>
      <c r="Y26" s="6" t="s">
        <v>143</v>
      </c>
      <c r="Z26" s="6" t="s">
        <v>144</v>
      </c>
      <c r="AA26" s="6" t="s">
        <v>143</v>
      </c>
      <c r="AB26" s="6" t="s">
        <v>143</v>
      </c>
      <c r="AC26" s="6" t="s">
        <v>141</v>
      </c>
      <c r="AD26" s="6" t="s">
        <v>143</v>
      </c>
      <c r="AE26" s="6" t="s">
        <v>144</v>
      </c>
      <c r="AF26" s="6" t="s">
        <v>143</v>
      </c>
      <c r="AG26" s="6" t="s">
        <v>144</v>
      </c>
      <c r="AH26" s="6" t="s">
        <v>141</v>
      </c>
      <c r="AI26" s="6" t="s">
        <v>141</v>
      </c>
      <c r="AJ26" s="6" t="s">
        <v>144</v>
      </c>
      <c r="AK26" s="6" t="s">
        <v>141</v>
      </c>
      <c r="AL26" s="6" t="s">
        <v>144</v>
      </c>
      <c r="AM26" s="6" t="s">
        <v>142</v>
      </c>
      <c r="AN26" s="6" t="s">
        <v>144</v>
      </c>
      <c r="AO26" s="6" t="s">
        <v>141</v>
      </c>
      <c r="AP26" s="6" t="s">
        <v>142</v>
      </c>
      <c r="AQ26" s="6" t="s">
        <v>142</v>
      </c>
      <c r="AR26" s="6" t="s">
        <v>142</v>
      </c>
      <c r="AS26" s="6" t="s">
        <v>141</v>
      </c>
      <c r="AT26" s="6" t="s">
        <v>141</v>
      </c>
      <c r="AU26" s="6" t="s">
        <v>141</v>
      </c>
      <c r="AV26" s="6" t="s">
        <v>141</v>
      </c>
      <c r="AW26" s="6" t="s">
        <v>142</v>
      </c>
      <c r="AX26" s="6" t="s">
        <v>142</v>
      </c>
      <c r="AY26" s="6" t="s">
        <v>141</v>
      </c>
    </row>
    <row r="27" spans="1:51" x14ac:dyDescent="0.2">
      <c r="A27" t="s">
        <v>142</v>
      </c>
      <c r="B27" s="6" t="str">
        <f t="shared" si="5"/>
        <v>A</v>
      </c>
      <c r="C27" s="7">
        <v>1065569</v>
      </c>
      <c r="D27" s="7">
        <v>1065569</v>
      </c>
      <c r="E27" t="str">
        <f>_xlfn.XLOOKUP(D27,'Student Roster'!A:A,'Student Roster'!B:B, "Not Found")</f>
        <v>Bryant, Tajanique</v>
      </c>
      <c r="F27">
        <f>_xlfn.XLOOKUP(D27,'Student Roster'!A:A,'Student Roster'!C:C, "Not Found")</f>
        <v>43958</v>
      </c>
      <c r="G27" t="s">
        <v>243</v>
      </c>
      <c r="H27">
        <v>43958</v>
      </c>
      <c r="J27" s="15" cm="1">
        <f t="array" ref="J27">SUMPRODUCT(--(Q27:AO27=IF(B27="A",$Q$5:$AO$5,$Q$6:$AO$6)))</f>
        <v>15</v>
      </c>
      <c r="K27" cm="1">
        <f t="array" ref="K27">SUMPRODUCT(--(AP27:AY27=IF(B27="A",$AP$5:$AY$5,$AP$6:$AY$6)))</f>
        <v>7</v>
      </c>
      <c r="L27" cm="1">
        <f t="array" ref="L27">SUMPRODUCT(--($Q27:$AO27 = IF($B27="A", $Q$5:$AO$5, $Q$6:$AO$6)),--IF($B27="A", (COLUMN($Q27:$AO27)&lt;&gt;COLUMN($W$8)), (COLUMN($Q27:$AO27)&lt;&gt;COLUMN($Z$8))))</f>
        <v>14</v>
      </c>
      <c r="M27">
        <f t="shared" si="1"/>
        <v>7</v>
      </c>
      <c r="N27">
        <f t="shared" si="2"/>
        <v>49</v>
      </c>
      <c r="O27" s="20">
        <f t="shared" si="3"/>
        <v>59.756097560975611</v>
      </c>
      <c r="P27" s="21">
        <f t="shared" si="4"/>
        <v>5.6574490931514974E-2</v>
      </c>
      <c r="Q27" s="6" t="s">
        <v>142</v>
      </c>
      <c r="R27" s="6" t="s">
        <v>143</v>
      </c>
      <c r="S27" s="6" t="s">
        <v>142</v>
      </c>
      <c r="T27" s="6" t="s">
        <v>143</v>
      </c>
      <c r="U27" s="6" t="s">
        <v>149</v>
      </c>
      <c r="V27" s="6" t="s">
        <v>143</v>
      </c>
      <c r="W27" s="6" t="s">
        <v>143</v>
      </c>
      <c r="X27" s="6" t="s">
        <v>143</v>
      </c>
      <c r="Y27" s="6" t="s">
        <v>141</v>
      </c>
      <c r="Z27" s="6" t="s">
        <v>143</v>
      </c>
      <c r="AA27" s="6" t="s">
        <v>143</v>
      </c>
      <c r="AB27" s="6" t="s">
        <v>142</v>
      </c>
      <c r="AC27" s="6" t="s">
        <v>142</v>
      </c>
      <c r="AD27" s="6" t="s">
        <v>143</v>
      </c>
      <c r="AE27" s="6" t="s">
        <v>144</v>
      </c>
      <c r="AF27" s="6" t="s">
        <v>143</v>
      </c>
      <c r="AG27" s="6" t="s">
        <v>142</v>
      </c>
      <c r="AH27" s="6" t="s">
        <v>142</v>
      </c>
      <c r="AI27" s="6" t="s">
        <v>141</v>
      </c>
      <c r="AJ27" s="6" t="s">
        <v>141</v>
      </c>
      <c r="AK27" s="6" t="s">
        <v>143</v>
      </c>
      <c r="AL27" s="6" t="s">
        <v>144</v>
      </c>
      <c r="AM27" s="6" t="s">
        <v>143</v>
      </c>
      <c r="AN27" s="6" t="s">
        <v>144</v>
      </c>
      <c r="AO27" s="6" t="s">
        <v>141</v>
      </c>
      <c r="AP27" s="6" t="s">
        <v>142</v>
      </c>
      <c r="AQ27" s="6" t="s">
        <v>142</v>
      </c>
      <c r="AR27" s="6" t="s">
        <v>142</v>
      </c>
      <c r="AS27" s="6" t="s">
        <v>141</v>
      </c>
      <c r="AT27" s="6" t="s">
        <v>141</v>
      </c>
      <c r="AU27" s="6" t="s">
        <v>142</v>
      </c>
      <c r="AV27" s="6" t="s">
        <v>141</v>
      </c>
      <c r="AW27" s="6" t="s">
        <v>142</v>
      </c>
      <c r="AX27" s="6" t="s">
        <v>141</v>
      </c>
      <c r="AY27" s="6" t="s">
        <v>142</v>
      </c>
    </row>
    <row r="28" spans="1:51" x14ac:dyDescent="0.2">
      <c r="A28" t="s">
        <v>142</v>
      </c>
      <c r="B28" s="6" t="str">
        <f t="shared" si="5"/>
        <v>A</v>
      </c>
      <c r="C28" s="7">
        <v>1068669</v>
      </c>
      <c r="D28" s="7">
        <v>1068669</v>
      </c>
      <c r="E28" t="str">
        <f>_xlfn.XLOOKUP(D28,'Student Roster'!A:A,'Student Roster'!B:B, "Not Found")</f>
        <v>Snell, Tricia</v>
      </c>
      <c r="F28">
        <f>_xlfn.XLOOKUP(D28,'Student Roster'!A:A,'Student Roster'!C:C, "Not Found")</f>
        <v>43957</v>
      </c>
      <c r="G28" t="s">
        <v>251</v>
      </c>
      <c r="H28">
        <v>43957</v>
      </c>
      <c r="J28" s="15" cm="1">
        <f t="array" ref="J28">SUMPRODUCT(--(Q28:AO28=IF(B28="A",$Q$5:$AO$5,$Q$6:$AO$6)))</f>
        <v>25</v>
      </c>
      <c r="K28" cm="1">
        <f t="array" ref="K28">SUMPRODUCT(--(AP28:AY28=IF(B28="A",$AP$5:$AY$5,$AP$6:$AY$6)))</f>
        <v>9</v>
      </c>
      <c r="L28" cm="1">
        <f t="array" ref="L28">SUMPRODUCT(--($Q28:$AO28 = IF($B28="A", $Q$5:$AO$5, $Q$6:$AO$6)),--IF($B28="A", (COLUMN($Q28:$AO28)&lt;&gt;COLUMN($W$8)), (COLUMN($Q28:$AO28)&lt;&gt;COLUMN($Z$8))))</f>
        <v>24</v>
      </c>
      <c r="M28">
        <f t="shared" si="1"/>
        <v>9</v>
      </c>
      <c r="N28">
        <f t="shared" si="2"/>
        <v>81</v>
      </c>
      <c r="O28" s="20">
        <f t="shared" si="3"/>
        <v>98.780487804878049</v>
      </c>
      <c r="P28" s="21">
        <f t="shared" si="4"/>
        <v>2.2458757213975424</v>
      </c>
      <c r="Q28" s="6" t="s">
        <v>141</v>
      </c>
      <c r="R28" s="6" t="s">
        <v>142</v>
      </c>
      <c r="S28" s="6" t="s">
        <v>142</v>
      </c>
      <c r="T28" s="6" t="s">
        <v>143</v>
      </c>
      <c r="U28" s="6" t="s">
        <v>143</v>
      </c>
      <c r="V28" s="6" t="s">
        <v>144</v>
      </c>
      <c r="W28" s="6" t="s">
        <v>143</v>
      </c>
      <c r="X28" s="6" t="s">
        <v>143</v>
      </c>
      <c r="Y28" s="6" t="s">
        <v>143</v>
      </c>
      <c r="Z28" s="6" t="s">
        <v>144</v>
      </c>
      <c r="AA28" s="6" t="s">
        <v>143</v>
      </c>
      <c r="AB28" s="6" t="s">
        <v>143</v>
      </c>
      <c r="AC28" s="6" t="s">
        <v>143</v>
      </c>
      <c r="AD28" s="6" t="s">
        <v>143</v>
      </c>
      <c r="AE28" s="6" t="s">
        <v>144</v>
      </c>
      <c r="AF28" s="6" t="s">
        <v>143</v>
      </c>
      <c r="AG28" s="6" t="s">
        <v>142</v>
      </c>
      <c r="AH28" s="6" t="s">
        <v>141</v>
      </c>
      <c r="AI28" s="6" t="s">
        <v>141</v>
      </c>
      <c r="AJ28" s="6" t="s">
        <v>144</v>
      </c>
      <c r="AK28" s="6" t="s">
        <v>143</v>
      </c>
      <c r="AL28" s="6" t="s">
        <v>144</v>
      </c>
      <c r="AM28" s="6" t="s">
        <v>143</v>
      </c>
      <c r="AN28" s="6" t="s">
        <v>144</v>
      </c>
      <c r="AO28" s="6" t="s">
        <v>141</v>
      </c>
      <c r="AP28" s="6" t="s">
        <v>142</v>
      </c>
      <c r="AQ28" s="6" t="s">
        <v>142</v>
      </c>
      <c r="AR28" s="6" t="s">
        <v>142</v>
      </c>
      <c r="AS28" s="6" t="s">
        <v>142</v>
      </c>
      <c r="AT28" s="6" t="s">
        <v>141</v>
      </c>
      <c r="AU28" s="6" t="s">
        <v>142</v>
      </c>
      <c r="AV28" s="6" t="s">
        <v>141</v>
      </c>
      <c r="AW28" s="6" t="s">
        <v>141</v>
      </c>
      <c r="AX28" s="6" t="s">
        <v>142</v>
      </c>
      <c r="AY28" s="6" t="s">
        <v>141</v>
      </c>
    </row>
    <row r="29" spans="1:51" x14ac:dyDescent="0.2">
      <c r="A29" t="s">
        <v>141</v>
      </c>
      <c r="B29" s="6" t="str">
        <f t="shared" si="5"/>
        <v>B</v>
      </c>
      <c r="C29" s="7">
        <v>490011</v>
      </c>
      <c r="D29" s="7">
        <v>490011</v>
      </c>
      <c r="E29" t="str">
        <f>_xlfn.XLOOKUP(D29,'Student Roster'!A:A,'Student Roster'!B:B, "Not Found")</f>
        <v>Garcia, Sabrina</v>
      </c>
      <c r="F29">
        <f>_xlfn.XLOOKUP(D29,'Student Roster'!A:A,'Student Roster'!C:C, "Not Found")</f>
        <v>43957</v>
      </c>
      <c r="G29" t="s">
        <v>179</v>
      </c>
      <c r="H29">
        <v>43957</v>
      </c>
      <c r="J29" s="15" cm="1">
        <f t="array" ref="J29">SUMPRODUCT(--(Q29:AO29=IF(B29="A",$Q$5:$AO$5,$Q$6:$AO$6)))</f>
        <v>7</v>
      </c>
      <c r="K29" cm="1">
        <f t="array" ref="K29">SUMPRODUCT(--(AP29:AY29=IF(B29="A",$AP$5:$AY$5,$AP$6:$AY$6)))</f>
        <v>5</v>
      </c>
      <c r="L29" cm="1">
        <f t="array" ref="L29">SUMPRODUCT(--($Q29:$AO29 = IF($B29="A", $Q$5:$AO$5, $Q$6:$AO$6)),--IF($B29="A", (COLUMN($Q29:$AO29)&lt;&gt;COLUMN($W$8)), (COLUMN($Q29:$AO29)&lt;&gt;COLUMN($Z$8))))</f>
        <v>7</v>
      </c>
      <c r="M29">
        <f t="shared" si="1"/>
        <v>5</v>
      </c>
      <c r="N29">
        <f t="shared" si="2"/>
        <v>26</v>
      </c>
      <c r="O29" s="20">
        <f t="shared" si="3"/>
        <v>31.707317073170731</v>
      </c>
      <c r="P29" s="21">
        <f t="shared" si="4"/>
        <v>-1.5169857684659425</v>
      </c>
      <c r="Q29" s="6" t="s">
        <v>142</v>
      </c>
      <c r="R29" s="6" t="s">
        <v>142</v>
      </c>
      <c r="S29" s="6" t="s">
        <v>145</v>
      </c>
      <c r="T29" s="6" t="s">
        <v>143</v>
      </c>
      <c r="U29" s="6" t="s">
        <v>143</v>
      </c>
      <c r="V29" s="6" t="s">
        <v>143</v>
      </c>
      <c r="W29" s="6" t="s">
        <v>141</v>
      </c>
      <c r="X29" s="6" t="s">
        <v>141</v>
      </c>
      <c r="Y29" s="6" t="s">
        <v>144</v>
      </c>
      <c r="Z29" s="6" t="s">
        <v>144</v>
      </c>
      <c r="AA29" s="6" t="s">
        <v>144</v>
      </c>
      <c r="AB29" s="6" t="s">
        <v>141</v>
      </c>
      <c r="AC29" s="6" t="s">
        <v>142</v>
      </c>
      <c r="AD29" s="6" t="s">
        <v>142</v>
      </c>
      <c r="AE29" s="6" t="s">
        <v>143</v>
      </c>
      <c r="AF29" s="6" t="s">
        <v>143</v>
      </c>
      <c r="AG29" s="6" t="s">
        <v>143</v>
      </c>
      <c r="AH29" s="6" t="s">
        <v>142</v>
      </c>
      <c r="AI29" s="6" t="s">
        <v>144</v>
      </c>
      <c r="AJ29" s="6" t="s">
        <v>144</v>
      </c>
      <c r="AK29" s="6" t="s">
        <v>144</v>
      </c>
      <c r="AL29" s="6" t="s">
        <v>141</v>
      </c>
      <c r="AM29" s="6" t="s">
        <v>142</v>
      </c>
      <c r="AN29" s="6" t="s">
        <v>144</v>
      </c>
      <c r="AO29" s="6" t="s">
        <v>142</v>
      </c>
      <c r="AP29" s="6" t="s">
        <v>142</v>
      </c>
      <c r="AQ29" s="6" t="s">
        <v>141</v>
      </c>
      <c r="AR29" s="6" t="s">
        <v>142</v>
      </c>
      <c r="AS29" s="6" t="s">
        <v>141</v>
      </c>
      <c r="AT29" s="6" t="s">
        <v>142</v>
      </c>
      <c r="AU29" s="6" t="s">
        <v>142</v>
      </c>
      <c r="AV29" s="6" t="s">
        <v>142</v>
      </c>
      <c r="AW29" s="6" t="s">
        <v>141</v>
      </c>
      <c r="AX29" s="6" t="s">
        <v>142</v>
      </c>
      <c r="AY29" s="6" t="s">
        <v>142</v>
      </c>
    </row>
    <row r="30" spans="1:51" x14ac:dyDescent="0.2">
      <c r="A30" t="s">
        <v>142</v>
      </c>
      <c r="B30" s="6" t="str">
        <f t="shared" si="5"/>
        <v>A</v>
      </c>
      <c r="C30" s="7">
        <v>574404</v>
      </c>
      <c r="D30" s="7">
        <v>574404</v>
      </c>
      <c r="E30" t="str">
        <f>_xlfn.XLOOKUP(D30,'Student Roster'!A:A,'Student Roster'!B:B, "Not Found")</f>
        <v>Rodriguez, Madison</v>
      </c>
      <c r="F30">
        <f>_xlfn.XLOOKUP(D30,'Student Roster'!A:A,'Student Roster'!C:C, "Not Found")</f>
        <v>43958</v>
      </c>
      <c r="G30" t="s">
        <v>237</v>
      </c>
      <c r="H30">
        <v>43958</v>
      </c>
      <c r="J30" s="15" cm="1">
        <f t="array" ref="J30">SUMPRODUCT(--(Q30:AO30=IF(B30="A",$Q$5:$AO$5,$Q$6:$AO$6)))</f>
        <v>18</v>
      </c>
      <c r="K30" cm="1">
        <f t="array" ref="K30">SUMPRODUCT(--(AP30:AY30=IF(B30="A",$AP$5:$AY$5,$AP$6:$AY$6)))</f>
        <v>7</v>
      </c>
      <c r="L30" cm="1">
        <f t="array" ref="L30">SUMPRODUCT(--($Q30:$AO30 = IF($B30="A", $Q$5:$AO$5, $Q$6:$AO$6)),--IF($B30="A", (COLUMN($Q30:$AO30)&lt;&gt;COLUMN($W$8)), (COLUMN($Q30:$AO30)&lt;&gt;COLUMN($Z$8))))</f>
        <v>17</v>
      </c>
      <c r="M30">
        <f t="shared" si="1"/>
        <v>7</v>
      </c>
      <c r="N30">
        <f t="shared" si="2"/>
        <v>58</v>
      </c>
      <c r="O30" s="20">
        <f t="shared" si="3"/>
        <v>70.731707317073173</v>
      </c>
      <c r="P30" s="21">
        <f t="shared" si="4"/>
        <v>0.6723154620000853</v>
      </c>
      <c r="Q30" s="6" t="s">
        <v>144</v>
      </c>
      <c r="R30" s="6" t="s">
        <v>142</v>
      </c>
      <c r="S30" s="6" t="s">
        <v>141</v>
      </c>
      <c r="T30" s="6" t="s">
        <v>143</v>
      </c>
      <c r="U30" s="6" t="s">
        <v>142</v>
      </c>
      <c r="V30" s="6" t="s">
        <v>144</v>
      </c>
      <c r="W30" s="6" t="s">
        <v>143</v>
      </c>
      <c r="X30" s="6" t="s">
        <v>143</v>
      </c>
      <c r="Y30" s="6" t="s">
        <v>143</v>
      </c>
      <c r="Z30" s="6" t="s">
        <v>144</v>
      </c>
      <c r="AA30" s="6" t="s">
        <v>143</v>
      </c>
      <c r="AB30" s="6" t="s">
        <v>143</v>
      </c>
      <c r="AC30" s="6" t="s">
        <v>144</v>
      </c>
      <c r="AD30" s="6" t="s">
        <v>142</v>
      </c>
      <c r="AE30" s="6" t="s">
        <v>144</v>
      </c>
      <c r="AF30" s="6" t="s">
        <v>143</v>
      </c>
      <c r="AG30" s="6" t="s">
        <v>144</v>
      </c>
      <c r="AH30" s="6" t="s">
        <v>141</v>
      </c>
      <c r="AI30" s="6" t="s">
        <v>141</v>
      </c>
      <c r="AJ30" s="6" t="s">
        <v>144</v>
      </c>
      <c r="AK30" s="6" t="s">
        <v>143</v>
      </c>
      <c r="AL30" s="6" t="s">
        <v>144</v>
      </c>
      <c r="AM30" s="6" t="s">
        <v>143</v>
      </c>
      <c r="AN30" s="6" t="s">
        <v>144</v>
      </c>
      <c r="AO30" s="6" t="s">
        <v>143</v>
      </c>
      <c r="AP30" s="6" t="s">
        <v>142</v>
      </c>
      <c r="AQ30" s="6" t="s">
        <v>142</v>
      </c>
      <c r="AR30" s="6" t="s">
        <v>142</v>
      </c>
      <c r="AS30" s="6" t="s">
        <v>141</v>
      </c>
      <c r="AT30" s="6" t="s">
        <v>141</v>
      </c>
      <c r="AU30" s="6" t="s">
        <v>141</v>
      </c>
      <c r="AV30" s="6" t="s">
        <v>141</v>
      </c>
      <c r="AW30" s="6" t="s">
        <v>142</v>
      </c>
      <c r="AX30" s="6" t="s">
        <v>142</v>
      </c>
      <c r="AY30" s="6" t="s">
        <v>142</v>
      </c>
    </row>
    <row r="31" spans="1:51" x14ac:dyDescent="0.2">
      <c r="A31" t="s">
        <v>149</v>
      </c>
      <c r="B31" s="14" t="s">
        <v>141</v>
      </c>
      <c r="C31" s="7">
        <v>1015634</v>
      </c>
      <c r="D31" s="7">
        <v>1016534</v>
      </c>
      <c r="E31" t="str">
        <f>_xlfn.XLOOKUP(D31,'Student Roster'!A:A,'Student Roster'!B:B, "Not Found")</f>
        <v>Arellano Cruz, Ashley</v>
      </c>
      <c r="F31">
        <f>_xlfn.XLOOKUP(D31,'Student Roster'!A:A,'Student Roster'!C:C, "Not Found")</f>
        <v>43958</v>
      </c>
      <c r="G31" t="s">
        <v>157</v>
      </c>
      <c r="H31">
        <v>43958</v>
      </c>
      <c r="J31" s="15" cm="1">
        <f t="array" ref="J31">SUMPRODUCT(--(Q31:AO31=IF(B31="A",$Q$5:$AO$5,$Q$6:$AO$6)))</f>
        <v>8</v>
      </c>
      <c r="K31" cm="1">
        <f t="array" ref="K31">SUMPRODUCT(--(AP31:AY31=IF(B31="A",$AP$5:$AY$5,$AP$6:$AY$6)))</f>
        <v>5</v>
      </c>
      <c r="L31" cm="1">
        <f t="array" ref="L31">SUMPRODUCT(--($Q31:$AO31 = IF($B31="A", $Q$5:$AO$5, $Q$6:$AO$6)),--IF($B31="A", (COLUMN($Q31:$AO31)&lt;&gt;COLUMN($W$8)), (COLUMN($Q31:$AO31)&lt;&gt;COLUMN($Z$8))))</f>
        <v>8</v>
      </c>
      <c r="M31">
        <f t="shared" si="1"/>
        <v>5</v>
      </c>
      <c r="N31">
        <f t="shared" si="2"/>
        <v>29</v>
      </c>
      <c r="O31" s="20">
        <f t="shared" si="3"/>
        <v>35.365853658536587</v>
      </c>
      <c r="P31" s="21">
        <f t="shared" si="4"/>
        <v>-1.3117387781097523</v>
      </c>
      <c r="Q31" s="6" t="s">
        <v>142</v>
      </c>
      <c r="R31" s="6" t="s">
        <v>142</v>
      </c>
      <c r="S31" s="6" t="s">
        <v>145</v>
      </c>
      <c r="T31" s="6" t="s">
        <v>144</v>
      </c>
      <c r="U31" s="6" t="s">
        <v>145</v>
      </c>
      <c r="V31" s="6" t="s">
        <v>141</v>
      </c>
      <c r="W31" s="6" t="s">
        <v>142</v>
      </c>
      <c r="X31" s="6" t="s">
        <v>143</v>
      </c>
      <c r="Y31" s="6" t="s">
        <v>143</v>
      </c>
      <c r="Z31" s="6" t="s">
        <v>142</v>
      </c>
      <c r="AA31" s="6" t="s">
        <v>144</v>
      </c>
      <c r="AB31" s="6" t="s">
        <v>143</v>
      </c>
      <c r="AC31" s="6" t="s">
        <v>143</v>
      </c>
      <c r="AD31" s="6" t="s">
        <v>141</v>
      </c>
      <c r="AE31" s="6" t="s">
        <v>143</v>
      </c>
      <c r="AF31" s="6" t="s">
        <v>145</v>
      </c>
      <c r="AG31" s="6" t="s">
        <v>144</v>
      </c>
      <c r="AH31" s="6" t="s">
        <v>143</v>
      </c>
      <c r="AI31" s="6" t="s">
        <v>142</v>
      </c>
      <c r="AJ31" s="6" t="s">
        <v>142</v>
      </c>
      <c r="AK31" s="6" t="s">
        <v>143</v>
      </c>
      <c r="AL31" s="6" t="s">
        <v>144</v>
      </c>
      <c r="AM31" s="6" t="s">
        <v>142</v>
      </c>
      <c r="AN31" s="6" t="s">
        <v>144</v>
      </c>
      <c r="AO31" s="6" t="s">
        <v>144</v>
      </c>
      <c r="AP31" s="6" t="s">
        <v>142</v>
      </c>
      <c r="AQ31" s="6" t="s">
        <v>141</v>
      </c>
      <c r="AR31" s="6" t="s">
        <v>141</v>
      </c>
      <c r="AS31" s="6" t="s">
        <v>141</v>
      </c>
      <c r="AT31" s="6" t="s">
        <v>142</v>
      </c>
      <c r="AU31" s="6" t="s">
        <v>142</v>
      </c>
      <c r="AV31" s="6" t="s">
        <v>142</v>
      </c>
      <c r="AW31" s="6" t="s">
        <v>141</v>
      </c>
      <c r="AX31" s="6" t="s">
        <v>141</v>
      </c>
      <c r="AY31" s="6" t="s">
        <v>142</v>
      </c>
    </row>
    <row r="32" spans="1:51" x14ac:dyDescent="0.2">
      <c r="A32" t="s">
        <v>142</v>
      </c>
      <c r="B32" s="6" t="str">
        <f t="shared" si="5"/>
        <v>A</v>
      </c>
      <c r="C32" s="7"/>
      <c r="D32" s="7">
        <v>775232</v>
      </c>
      <c r="E32" t="str">
        <f>_xlfn.XLOOKUP(D32,'Student Roster'!A:A,'Student Roster'!B:B, "Not Found")</f>
        <v>Vargas, Lisa</v>
      </c>
      <c r="F32">
        <f>_xlfn.XLOOKUP(D32,'Student Roster'!A:A,'Student Roster'!C:C, "Not Found")</f>
        <v>43957</v>
      </c>
      <c r="G32" t="s">
        <v>257</v>
      </c>
      <c r="H32">
        <v>43957</v>
      </c>
      <c r="J32" s="15" cm="1">
        <f t="array" ref="J32">SUMPRODUCT(--(Q32:AO32=IF(B32="A",$Q$5:$AO$5,$Q$6:$AO$6)))</f>
        <v>8</v>
      </c>
      <c r="K32" cm="1">
        <f t="array" ref="K32">SUMPRODUCT(--(AP32:AY32=IF(B32="A",$AP$5:$AY$5,$AP$6:$AY$6)))</f>
        <v>5</v>
      </c>
      <c r="L32" cm="1">
        <f t="array" ref="L32">SUMPRODUCT(--($Q32:$AO32 = IF($B32="A", $Q$5:$AO$5, $Q$6:$AO$6)),--IF($B32="A", (COLUMN($Q32:$AO32)&lt;&gt;COLUMN($W$8)), (COLUMN($Q32:$AO32)&lt;&gt;COLUMN($Z$8))))</f>
        <v>8</v>
      </c>
      <c r="M32">
        <f t="shared" si="1"/>
        <v>5</v>
      </c>
      <c r="N32">
        <f t="shared" si="2"/>
        <v>29</v>
      </c>
      <c r="O32" s="20">
        <f t="shared" si="3"/>
        <v>35.365853658536587</v>
      </c>
      <c r="P32" s="21">
        <f t="shared" si="4"/>
        <v>-1.3117387781097523</v>
      </c>
      <c r="Q32" s="6" t="s">
        <v>141</v>
      </c>
      <c r="R32" s="6" t="s">
        <v>142</v>
      </c>
      <c r="S32" s="6" t="s">
        <v>143</v>
      </c>
      <c r="T32" s="6" t="s">
        <v>145</v>
      </c>
      <c r="U32" s="6" t="s">
        <v>144</v>
      </c>
      <c r="V32" s="6" t="s">
        <v>141</v>
      </c>
      <c r="W32" s="6" t="s">
        <v>141</v>
      </c>
      <c r="X32" s="6" t="s">
        <v>143</v>
      </c>
      <c r="Y32" s="6" t="s">
        <v>144</v>
      </c>
      <c r="Z32" s="6" t="s">
        <v>143</v>
      </c>
      <c r="AA32" s="6" t="s">
        <v>141</v>
      </c>
      <c r="AB32" s="6" t="s">
        <v>143</v>
      </c>
      <c r="AC32" s="6" t="s">
        <v>144</v>
      </c>
      <c r="AD32" s="6" t="s">
        <v>144</v>
      </c>
      <c r="AE32" s="6" t="s">
        <v>142</v>
      </c>
      <c r="AF32" s="6" t="s">
        <v>141</v>
      </c>
      <c r="AG32" s="6" t="s">
        <v>145</v>
      </c>
      <c r="AH32" s="6" t="s">
        <v>143</v>
      </c>
      <c r="AI32" s="6" t="s">
        <v>142</v>
      </c>
      <c r="AJ32" s="6" t="s">
        <v>144</v>
      </c>
      <c r="AK32" s="6" t="s">
        <v>143</v>
      </c>
      <c r="AL32" s="6" t="s">
        <v>141</v>
      </c>
      <c r="AM32" s="6" t="s">
        <v>143</v>
      </c>
      <c r="AN32" s="6" t="s">
        <v>144</v>
      </c>
      <c r="AO32" s="6" t="s">
        <v>142</v>
      </c>
      <c r="AP32" s="6" t="s">
        <v>142</v>
      </c>
      <c r="AQ32" s="6" t="s">
        <v>141</v>
      </c>
      <c r="AR32" s="6" t="s">
        <v>142</v>
      </c>
      <c r="AS32" s="6" t="s">
        <v>141</v>
      </c>
      <c r="AT32" s="6" t="s">
        <v>142</v>
      </c>
      <c r="AU32" s="6" t="s">
        <v>142</v>
      </c>
      <c r="AV32" s="6" t="s">
        <v>141</v>
      </c>
      <c r="AW32" s="6" t="s">
        <v>142</v>
      </c>
      <c r="AX32" s="6" t="s">
        <v>141</v>
      </c>
      <c r="AY32" s="6" t="s">
        <v>142</v>
      </c>
    </row>
    <row r="33" spans="1:51" x14ac:dyDescent="0.2">
      <c r="A33" t="s">
        <v>142</v>
      </c>
      <c r="B33" s="6" t="str">
        <f t="shared" si="5"/>
        <v>A</v>
      </c>
      <c r="C33" s="7">
        <v>924739</v>
      </c>
      <c r="D33" s="7">
        <v>924739</v>
      </c>
      <c r="E33" t="str">
        <f>_xlfn.XLOOKUP(D33,'Student Roster'!A:A,'Student Roster'!B:B, "Not Found")</f>
        <v>Santos, Madison</v>
      </c>
      <c r="F33">
        <f>_xlfn.XLOOKUP(D33,'Student Roster'!A:A,'Student Roster'!C:C, "Not Found")</f>
        <v>43957</v>
      </c>
      <c r="G33" t="s">
        <v>247</v>
      </c>
      <c r="H33">
        <v>43957</v>
      </c>
      <c r="J33" s="15" cm="1">
        <f t="array" ref="J33">SUMPRODUCT(--(Q33:AO33=IF(B33="A",$Q$5:$AO$5,$Q$6:$AO$6)))</f>
        <v>14</v>
      </c>
      <c r="K33" cm="1">
        <f t="array" ref="K33">SUMPRODUCT(--(AP33:AY33=IF(B33="A",$AP$5:$AY$5,$AP$6:$AY$6)))</f>
        <v>6</v>
      </c>
      <c r="L33" cm="1">
        <f t="array" ref="L33">SUMPRODUCT(--($Q33:$AO33 = IF($B33="A", $Q$5:$AO$5, $Q$6:$AO$6)),--IF($B33="A", (COLUMN($Q33:$AO33)&lt;&gt;COLUMN($W$8)), (COLUMN($Q33:$AO33)&lt;&gt;COLUMN($Z$8))))</f>
        <v>13</v>
      </c>
      <c r="M33">
        <f t="shared" si="1"/>
        <v>6</v>
      </c>
      <c r="N33">
        <f t="shared" si="2"/>
        <v>45</v>
      </c>
      <c r="O33" s="20">
        <f t="shared" si="3"/>
        <v>54.878048780487802</v>
      </c>
      <c r="P33" s="21">
        <f t="shared" si="4"/>
        <v>-0.21708816287673871</v>
      </c>
      <c r="Q33" s="6" t="s">
        <v>143</v>
      </c>
      <c r="R33" s="6" t="s">
        <v>143</v>
      </c>
      <c r="S33" s="6" t="s">
        <v>143</v>
      </c>
      <c r="T33" s="6" t="s">
        <v>143</v>
      </c>
      <c r="U33" s="6" t="s">
        <v>142</v>
      </c>
      <c r="V33" s="6" t="s">
        <v>144</v>
      </c>
      <c r="W33" s="6" t="s">
        <v>143</v>
      </c>
      <c r="X33" s="6" t="s">
        <v>143</v>
      </c>
      <c r="Y33" s="6" t="s">
        <v>143</v>
      </c>
      <c r="Z33" s="6" t="s">
        <v>144</v>
      </c>
      <c r="AA33" s="6" t="s">
        <v>145</v>
      </c>
      <c r="AB33" s="6" t="s">
        <v>143</v>
      </c>
      <c r="AC33" s="6" t="s">
        <v>143</v>
      </c>
      <c r="AD33" s="6" t="s">
        <v>142</v>
      </c>
      <c r="AE33" s="6" t="s">
        <v>141</v>
      </c>
      <c r="AF33" s="6" t="s">
        <v>144</v>
      </c>
      <c r="AG33" s="6" t="s">
        <v>144</v>
      </c>
      <c r="AH33" s="6" t="s">
        <v>141</v>
      </c>
      <c r="AI33" s="6" t="s">
        <v>143</v>
      </c>
      <c r="AJ33" s="6" t="s">
        <v>144</v>
      </c>
      <c r="AK33" s="6" t="s">
        <v>143</v>
      </c>
      <c r="AL33" s="6" t="s">
        <v>144</v>
      </c>
      <c r="AM33" s="6" t="s">
        <v>144</v>
      </c>
      <c r="AN33" s="6" t="s">
        <v>144</v>
      </c>
      <c r="AO33" s="6" t="s">
        <v>141</v>
      </c>
      <c r="AP33" s="6" t="s">
        <v>141</v>
      </c>
      <c r="AQ33" s="6" t="s">
        <v>142</v>
      </c>
      <c r="AR33" s="6" t="s">
        <v>142</v>
      </c>
      <c r="AS33" s="6" t="s">
        <v>141</v>
      </c>
      <c r="AT33" s="6" t="s">
        <v>141</v>
      </c>
      <c r="AU33" s="6" t="s">
        <v>142</v>
      </c>
      <c r="AV33" s="6" t="s">
        <v>141</v>
      </c>
      <c r="AW33" s="6" t="s">
        <v>142</v>
      </c>
      <c r="AX33" s="6" t="s">
        <v>141</v>
      </c>
      <c r="AY33" s="6" t="s">
        <v>142</v>
      </c>
    </row>
    <row r="34" spans="1:51" x14ac:dyDescent="0.2">
      <c r="A34" t="s">
        <v>149</v>
      </c>
      <c r="B34" s="14" t="s">
        <v>141</v>
      </c>
      <c r="C34" s="7">
        <v>1035199</v>
      </c>
      <c r="D34" s="7">
        <v>1035199</v>
      </c>
      <c r="E34" t="str">
        <f>_xlfn.XLOOKUP(D34,'Student Roster'!A:A,'Student Roster'!B:B, "Not Found")</f>
        <v>Pascale, Teah</v>
      </c>
      <c r="F34">
        <f>_xlfn.XLOOKUP(D34,'Student Roster'!A:A,'Student Roster'!C:C, "Not Found")</f>
        <v>43957</v>
      </c>
      <c r="G34" t="s">
        <v>227</v>
      </c>
      <c r="H34">
        <v>43957</v>
      </c>
      <c r="J34" s="15" cm="1">
        <f t="array" ref="J34">SUMPRODUCT(--(Q34:AO34=IF(B34="A",$Q$5:$AO$5,$Q$6:$AO$6)))</f>
        <v>13</v>
      </c>
      <c r="K34" cm="1">
        <f t="array" ref="K34">SUMPRODUCT(--(AP34:AY34=IF(B34="A",$AP$5:$AY$5,$AP$6:$AY$6)))</f>
        <v>8</v>
      </c>
      <c r="L34" cm="1">
        <f t="array" ref="L34">SUMPRODUCT(--($Q34:$AO34 = IF($B34="A", $Q$5:$AO$5, $Q$6:$AO$6)),--IF($B34="A", (COLUMN($Q34:$AO34)&lt;&gt;COLUMN($W$8)), (COLUMN($Q34:$AO34)&lt;&gt;COLUMN($Z$8))))</f>
        <v>13</v>
      </c>
      <c r="M34">
        <f t="shared" si="1"/>
        <v>8</v>
      </c>
      <c r="N34">
        <f t="shared" si="2"/>
        <v>47</v>
      </c>
      <c r="O34" s="20">
        <f t="shared" si="3"/>
        <v>57.31707317073171</v>
      </c>
      <c r="P34" s="21">
        <f t="shared" si="4"/>
        <v>-8.025683597261167E-2</v>
      </c>
      <c r="Q34" s="6" t="s">
        <v>142</v>
      </c>
      <c r="R34" s="6" t="s">
        <v>143</v>
      </c>
      <c r="S34" s="6" t="s">
        <v>145</v>
      </c>
      <c r="T34" s="6" t="s">
        <v>143</v>
      </c>
      <c r="U34" s="6" t="s">
        <v>143</v>
      </c>
      <c r="V34" s="6" t="s">
        <v>143</v>
      </c>
      <c r="W34" s="6" t="s">
        <v>141</v>
      </c>
      <c r="X34" s="6" t="s">
        <v>144</v>
      </c>
      <c r="Y34" s="6" t="s">
        <v>143</v>
      </c>
      <c r="Z34" s="6" t="s">
        <v>142</v>
      </c>
      <c r="AA34" s="6" t="s">
        <v>143</v>
      </c>
      <c r="AB34" s="6" t="s">
        <v>141</v>
      </c>
      <c r="AC34" s="6" t="s">
        <v>143</v>
      </c>
      <c r="AD34" s="6" t="s">
        <v>143</v>
      </c>
      <c r="AE34" s="6" t="s">
        <v>143</v>
      </c>
      <c r="AF34" s="6" t="s">
        <v>144</v>
      </c>
      <c r="AG34" s="6" t="s">
        <v>143</v>
      </c>
      <c r="AH34" s="6" t="s">
        <v>142</v>
      </c>
      <c r="AI34" s="6" t="s">
        <v>141</v>
      </c>
      <c r="AJ34" s="6" t="s">
        <v>143</v>
      </c>
      <c r="AK34" s="6" t="s">
        <v>144</v>
      </c>
      <c r="AL34" s="6" t="s">
        <v>144</v>
      </c>
      <c r="AM34" s="6" t="s">
        <v>141</v>
      </c>
      <c r="AN34" s="6" t="s">
        <v>144</v>
      </c>
      <c r="AO34" s="6" t="s">
        <v>143</v>
      </c>
      <c r="AP34" s="6" t="s">
        <v>142</v>
      </c>
      <c r="AQ34" s="6" t="s">
        <v>141</v>
      </c>
      <c r="AR34" s="6" t="s">
        <v>142</v>
      </c>
      <c r="AS34" s="6" t="s">
        <v>142</v>
      </c>
      <c r="AT34" s="6" t="s">
        <v>142</v>
      </c>
      <c r="AU34" s="6" t="s">
        <v>142</v>
      </c>
      <c r="AV34" s="6" t="s">
        <v>141</v>
      </c>
      <c r="AW34" s="6" t="s">
        <v>141</v>
      </c>
      <c r="AX34" s="6" t="s">
        <v>142</v>
      </c>
      <c r="AY34" s="6" t="s">
        <v>141</v>
      </c>
    </row>
    <row r="35" spans="1:51" x14ac:dyDescent="0.2">
      <c r="A35" t="s">
        <v>142</v>
      </c>
      <c r="B35" s="6" t="str">
        <f t="shared" si="5"/>
        <v>A</v>
      </c>
      <c r="C35" s="7">
        <v>891883</v>
      </c>
      <c r="D35" s="7">
        <v>891883</v>
      </c>
      <c r="E35" t="str">
        <f>_xlfn.XLOOKUP(D35,'Student Roster'!A:A,'Student Roster'!B:B, "Not Found")</f>
        <v>Sarkisyan, Rita</v>
      </c>
      <c r="F35">
        <f>_xlfn.XLOOKUP(D35,'Student Roster'!A:A,'Student Roster'!C:C, "Not Found")</f>
        <v>43957</v>
      </c>
      <c r="G35" t="s">
        <v>249</v>
      </c>
      <c r="H35">
        <v>43957</v>
      </c>
      <c r="J35" s="15" cm="1">
        <f t="array" ref="J35">SUMPRODUCT(--(Q35:AO35=IF(B35="A",$Q$5:$AO$5,$Q$6:$AO$6)))</f>
        <v>4</v>
      </c>
      <c r="K35" cm="1">
        <f t="array" ref="K35">SUMPRODUCT(--(AP35:AY35=IF(B35="A",$AP$5:$AY$5,$AP$6:$AY$6)))</f>
        <v>9</v>
      </c>
      <c r="L35" cm="1">
        <f t="array" ref="L35">SUMPRODUCT(--($Q35:$AO35 = IF($B35="A", $Q$5:$AO$5, $Q$6:$AO$6)),--IF($B35="A", (COLUMN($Q35:$AO35)&lt;&gt;COLUMN($W$8)), (COLUMN($Q35:$AO35)&lt;&gt;COLUMN($Z$8))))</f>
        <v>4</v>
      </c>
      <c r="M35">
        <f t="shared" si="1"/>
        <v>9</v>
      </c>
      <c r="N35">
        <f t="shared" si="2"/>
        <v>21</v>
      </c>
      <c r="O35" s="20">
        <f t="shared" si="3"/>
        <v>25.609756097560975</v>
      </c>
      <c r="P35" s="21">
        <f t="shared" si="4"/>
        <v>-1.8590640857262593</v>
      </c>
      <c r="Q35" s="6" t="s">
        <v>144</v>
      </c>
      <c r="R35" s="6" t="s">
        <v>143</v>
      </c>
      <c r="S35" s="6" t="s">
        <v>141</v>
      </c>
      <c r="T35" s="6" t="s">
        <v>145</v>
      </c>
      <c r="U35" s="6" t="s">
        <v>143</v>
      </c>
      <c r="V35" s="6" t="s">
        <v>144</v>
      </c>
      <c r="W35" s="6" t="s">
        <v>142</v>
      </c>
      <c r="X35" s="6" t="s">
        <v>144</v>
      </c>
      <c r="Y35" s="6" t="s">
        <v>141</v>
      </c>
      <c r="Z35" s="6" t="s">
        <v>143</v>
      </c>
      <c r="AA35" s="6" t="s">
        <v>142</v>
      </c>
      <c r="AB35" s="6" t="s">
        <v>142</v>
      </c>
      <c r="AC35" s="6" t="s">
        <v>141</v>
      </c>
      <c r="AD35" s="6" t="s">
        <v>144</v>
      </c>
      <c r="AE35" s="6" t="s">
        <v>142</v>
      </c>
      <c r="AF35" s="6" t="s">
        <v>141</v>
      </c>
      <c r="AG35" s="6" t="s">
        <v>141</v>
      </c>
      <c r="AH35" s="6" t="s">
        <v>144</v>
      </c>
      <c r="AI35" s="6" t="s">
        <v>142</v>
      </c>
      <c r="AJ35" s="6" t="s">
        <v>141</v>
      </c>
      <c r="AK35" s="6" t="s">
        <v>143</v>
      </c>
      <c r="AL35" s="6" t="s">
        <v>144</v>
      </c>
      <c r="AM35" s="6" t="s">
        <v>142</v>
      </c>
      <c r="AN35" s="6" t="s">
        <v>145</v>
      </c>
      <c r="AO35" s="6" t="s">
        <v>142</v>
      </c>
      <c r="AP35" s="6" t="s">
        <v>142</v>
      </c>
      <c r="AQ35" s="6" t="s">
        <v>142</v>
      </c>
      <c r="AR35" s="6" t="s">
        <v>142</v>
      </c>
      <c r="AS35" s="6" t="s">
        <v>141</v>
      </c>
      <c r="AT35" s="6" t="s">
        <v>141</v>
      </c>
      <c r="AU35" s="6" t="s">
        <v>142</v>
      </c>
      <c r="AV35" s="6" t="s">
        <v>141</v>
      </c>
      <c r="AW35" s="6" t="s">
        <v>141</v>
      </c>
      <c r="AX35" s="6" t="s">
        <v>142</v>
      </c>
      <c r="AY35" s="6" t="s">
        <v>142</v>
      </c>
    </row>
    <row r="36" spans="1:51" x14ac:dyDescent="0.2">
      <c r="A36" t="s">
        <v>142</v>
      </c>
      <c r="B36" s="6" t="str">
        <f t="shared" si="5"/>
        <v>A</v>
      </c>
      <c r="C36" s="7">
        <v>928878</v>
      </c>
      <c r="D36" s="7">
        <v>928878</v>
      </c>
      <c r="E36" t="str">
        <f>_xlfn.XLOOKUP(D36,'Student Roster'!A:A,'Student Roster'!B:B, "Not Found")</f>
        <v>Her, Kangbao</v>
      </c>
      <c r="F36">
        <f>_xlfn.XLOOKUP(D36,'Student Roster'!A:A,'Student Roster'!C:C, "Not Found")</f>
        <v>43958</v>
      </c>
      <c r="G36" t="s">
        <v>185</v>
      </c>
      <c r="H36">
        <v>43958</v>
      </c>
      <c r="J36" s="15" cm="1">
        <f t="array" ref="J36">SUMPRODUCT(--(Q36:AO36=IF(B36="A",$Q$5:$AO$5,$Q$6:$AO$6)))</f>
        <v>14</v>
      </c>
      <c r="K36" cm="1">
        <f t="array" ref="K36">SUMPRODUCT(--(AP36:AY36=IF(B36="A",$AP$5:$AY$5,$AP$6:$AY$6)))</f>
        <v>7</v>
      </c>
      <c r="L36" cm="1">
        <f t="array" ref="L36">SUMPRODUCT(--($Q36:$AO36 = IF($B36="A", $Q$5:$AO$5, $Q$6:$AO$6)),--IF($B36="A", (COLUMN($Q36:$AO36)&lt;&gt;COLUMN($W$8)), (COLUMN($Q36:$AO36)&lt;&gt;COLUMN($Z$8))))</f>
        <v>14</v>
      </c>
      <c r="M36">
        <f t="shared" si="1"/>
        <v>7</v>
      </c>
      <c r="N36">
        <f t="shared" si="2"/>
        <v>49</v>
      </c>
      <c r="O36" s="20">
        <f t="shared" si="3"/>
        <v>59.756097560975611</v>
      </c>
      <c r="P36" s="21">
        <f t="shared" si="4"/>
        <v>5.6574490931514974E-2</v>
      </c>
      <c r="Q36" s="6" t="s">
        <v>144</v>
      </c>
      <c r="R36" s="6" t="s">
        <v>142</v>
      </c>
      <c r="S36" s="6" t="s">
        <v>142</v>
      </c>
      <c r="T36" s="6" t="s">
        <v>145</v>
      </c>
      <c r="U36" s="6" t="s">
        <v>143</v>
      </c>
      <c r="V36" s="6" t="s">
        <v>144</v>
      </c>
      <c r="W36" s="6" t="s">
        <v>142</v>
      </c>
      <c r="X36" s="6" t="s">
        <v>141</v>
      </c>
      <c r="Y36" s="6" t="s">
        <v>141</v>
      </c>
      <c r="Z36" s="6" t="s">
        <v>144</v>
      </c>
      <c r="AA36" s="6" t="s">
        <v>143</v>
      </c>
      <c r="AB36" s="6" t="s">
        <v>144</v>
      </c>
      <c r="AC36" s="6" t="s">
        <v>143</v>
      </c>
      <c r="AD36" s="6" t="s">
        <v>142</v>
      </c>
      <c r="AE36" s="6" t="s">
        <v>143</v>
      </c>
      <c r="AF36" s="6" t="s">
        <v>141</v>
      </c>
      <c r="AG36" s="6" t="s">
        <v>141</v>
      </c>
      <c r="AH36" s="6" t="s">
        <v>141</v>
      </c>
      <c r="AI36" s="6" t="s">
        <v>141</v>
      </c>
      <c r="AJ36" s="6" t="s">
        <v>144</v>
      </c>
      <c r="AK36" s="6" t="s">
        <v>143</v>
      </c>
      <c r="AL36" s="6" t="s">
        <v>144</v>
      </c>
      <c r="AM36" s="6" t="s">
        <v>141</v>
      </c>
      <c r="AN36" s="6" t="s">
        <v>144</v>
      </c>
      <c r="AO36" s="6" t="s">
        <v>141</v>
      </c>
      <c r="AP36" s="6" t="s">
        <v>141</v>
      </c>
      <c r="AQ36" s="6" t="s">
        <v>142</v>
      </c>
      <c r="AR36" s="6" t="s">
        <v>142</v>
      </c>
      <c r="AS36" s="6" t="s">
        <v>141</v>
      </c>
      <c r="AT36" s="6" t="s">
        <v>141</v>
      </c>
      <c r="AU36" s="6" t="s">
        <v>142</v>
      </c>
      <c r="AV36" s="6" t="s">
        <v>141</v>
      </c>
      <c r="AW36" s="6" t="s">
        <v>142</v>
      </c>
      <c r="AX36" s="6" t="s">
        <v>142</v>
      </c>
      <c r="AY36" s="6" t="s">
        <v>142</v>
      </c>
    </row>
    <row r="37" spans="1:51" x14ac:dyDescent="0.2">
      <c r="A37" t="s">
        <v>141</v>
      </c>
      <c r="B37" s="6" t="str">
        <f t="shared" si="5"/>
        <v>B</v>
      </c>
      <c r="C37" s="7">
        <v>523330</v>
      </c>
      <c r="D37" s="7">
        <v>523330</v>
      </c>
      <c r="E37" t="str">
        <f>_xlfn.XLOOKUP(D37,'Student Roster'!A:A,'Student Roster'!B:B, "Not Found")</f>
        <v>Pyle, Matthew</v>
      </c>
      <c r="F37">
        <f>_xlfn.XLOOKUP(D37,'Student Roster'!A:A,'Student Roster'!C:C, "Not Found")</f>
        <v>43957</v>
      </c>
      <c r="G37" t="s">
        <v>233</v>
      </c>
      <c r="H37">
        <v>43957</v>
      </c>
      <c r="J37" s="15" cm="1">
        <f t="array" ref="J37">SUMPRODUCT(--(Q37:AO37=IF(B37="A",$Q$5:$AO$5,$Q$6:$AO$6)))</f>
        <v>16</v>
      </c>
      <c r="K37" cm="1">
        <f t="array" ref="K37">SUMPRODUCT(--(AP37:AY37=IF(B37="A",$AP$5:$AY$5,$AP$6:$AY$6)))</f>
        <v>8</v>
      </c>
      <c r="L37" cm="1">
        <f t="array" ref="L37">SUMPRODUCT(--($Q37:$AO37 = IF($B37="A", $Q$5:$AO$5, $Q$6:$AO$6)),--IF($B37="A", (COLUMN($Q37:$AO37)&lt;&gt;COLUMN($W$8)), (COLUMN($Q37:$AO37)&lt;&gt;COLUMN($Z$8))))</f>
        <v>16</v>
      </c>
      <c r="M37">
        <f t="shared" si="1"/>
        <v>8</v>
      </c>
      <c r="N37">
        <f t="shared" si="2"/>
        <v>56</v>
      </c>
      <c r="O37" s="20">
        <f t="shared" si="3"/>
        <v>68.292682926829272</v>
      </c>
      <c r="P37" s="21">
        <f t="shared" si="4"/>
        <v>0.5354841350959586</v>
      </c>
      <c r="Q37" s="6" t="s">
        <v>142</v>
      </c>
      <c r="R37" s="6" t="s">
        <v>142</v>
      </c>
      <c r="S37" s="6" t="s">
        <v>143</v>
      </c>
      <c r="T37" s="6" t="s">
        <v>144</v>
      </c>
      <c r="U37" s="6" t="s">
        <v>145</v>
      </c>
      <c r="V37" s="6" t="s">
        <v>142</v>
      </c>
      <c r="W37" s="6" t="s">
        <v>143</v>
      </c>
      <c r="X37" s="6" t="s">
        <v>142</v>
      </c>
      <c r="Y37" s="6" t="s">
        <v>142</v>
      </c>
      <c r="Z37" s="6" t="s">
        <v>142</v>
      </c>
      <c r="AA37" s="6" t="s">
        <v>143</v>
      </c>
      <c r="AB37" s="6" t="s">
        <v>143</v>
      </c>
      <c r="AC37" s="6" t="s">
        <v>144</v>
      </c>
      <c r="AD37" s="6" t="s">
        <v>143</v>
      </c>
      <c r="AE37" s="6" t="s">
        <v>143</v>
      </c>
      <c r="AF37" s="6" t="s">
        <v>141</v>
      </c>
      <c r="AG37" s="6" t="s">
        <v>141</v>
      </c>
      <c r="AH37" s="6" t="s">
        <v>142</v>
      </c>
      <c r="AI37" s="6" t="s">
        <v>141</v>
      </c>
      <c r="AJ37" s="6" t="s">
        <v>143</v>
      </c>
      <c r="AK37" s="6" t="s">
        <v>144</v>
      </c>
      <c r="AL37" s="6" t="s">
        <v>142</v>
      </c>
      <c r="AM37" s="6" t="s">
        <v>142</v>
      </c>
      <c r="AN37" s="6" t="s">
        <v>144</v>
      </c>
      <c r="AO37" s="6" t="s">
        <v>141</v>
      </c>
      <c r="AP37" s="6" t="s">
        <v>142</v>
      </c>
      <c r="AQ37" s="6" t="s">
        <v>141</v>
      </c>
      <c r="AR37" s="6" t="s">
        <v>141</v>
      </c>
      <c r="AS37" s="6" t="s">
        <v>142</v>
      </c>
      <c r="AT37" s="6" t="s">
        <v>142</v>
      </c>
      <c r="AU37" s="6" t="s">
        <v>142</v>
      </c>
      <c r="AV37" s="6" t="s">
        <v>141</v>
      </c>
      <c r="AW37" s="6" t="s">
        <v>141</v>
      </c>
      <c r="AX37" s="6" t="s">
        <v>142</v>
      </c>
      <c r="AY37" s="6" t="s">
        <v>142</v>
      </c>
    </row>
    <row r="38" spans="1:51" x14ac:dyDescent="0.2">
      <c r="A38" t="s">
        <v>141</v>
      </c>
      <c r="B38" s="6" t="str">
        <f t="shared" si="5"/>
        <v>B</v>
      </c>
      <c r="C38" s="7">
        <v>977589</v>
      </c>
      <c r="D38" s="7">
        <v>977589</v>
      </c>
      <c r="E38" t="str">
        <f>_xlfn.XLOOKUP(D38,'Student Roster'!A:A,'Student Roster'!B:B, "Not Found")</f>
        <v>Negrete, Miguel</v>
      </c>
      <c r="F38">
        <f>_xlfn.XLOOKUP(D38,'Student Roster'!A:A,'Student Roster'!C:C, "Not Found")</f>
        <v>43958</v>
      </c>
      <c r="G38" t="s">
        <v>219</v>
      </c>
      <c r="H38">
        <v>43958</v>
      </c>
      <c r="J38" s="15" cm="1">
        <f t="array" ref="J38">SUMPRODUCT(--(Q38:AO38=IF(B38="A",$Q$5:$AO$5,$Q$6:$AO$6)))</f>
        <v>20</v>
      </c>
      <c r="K38" cm="1">
        <f t="array" ref="K38">SUMPRODUCT(--(AP38:AY38=IF(B38="A",$AP$5:$AY$5,$AP$6:$AY$6)))</f>
        <v>6</v>
      </c>
      <c r="L38" cm="1">
        <f t="array" ref="L38">SUMPRODUCT(--($Q38:$AO38 = IF($B38="A", $Q$5:$AO$5, $Q$6:$AO$6)),--IF($B38="A", (COLUMN($Q38:$AO38)&lt;&gt;COLUMN($W$8)), (COLUMN($Q38:$AO38)&lt;&gt;COLUMN($Z$8))))</f>
        <v>19</v>
      </c>
      <c r="M38">
        <f t="shared" si="1"/>
        <v>6</v>
      </c>
      <c r="N38">
        <f t="shared" si="2"/>
        <v>63</v>
      </c>
      <c r="O38" s="20">
        <f t="shared" si="3"/>
        <v>76.829268292682926</v>
      </c>
      <c r="P38" s="21">
        <f t="shared" si="4"/>
        <v>1.0143937792604019</v>
      </c>
      <c r="Q38" s="6" t="s">
        <v>142</v>
      </c>
      <c r="R38" s="6" t="s">
        <v>142</v>
      </c>
      <c r="S38" s="6" t="s">
        <v>143</v>
      </c>
      <c r="T38" s="6" t="s">
        <v>144</v>
      </c>
      <c r="U38" s="6" t="s">
        <v>145</v>
      </c>
      <c r="V38" s="6" t="s">
        <v>141</v>
      </c>
      <c r="W38" s="6" t="s">
        <v>143</v>
      </c>
      <c r="X38" s="6" t="s">
        <v>144</v>
      </c>
      <c r="Y38" s="6" t="s">
        <v>143</v>
      </c>
      <c r="Z38" s="6" t="s">
        <v>143</v>
      </c>
      <c r="AA38" s="6" t="s">
        <v>143</v>
      </c>
      <c r="AB38" s="6" t="s">
        <v>143</v>
      </c>
      <c r="AC38" s="6" t="s">
        <v>141</v>
      </c>
      <c r="AD38" s="6" t="s">
        <v>143</v>
      </c>
      <c r="AE38" s="6" t="s">
        <v>143</v>
      </c>
      <c r="AF38" s="6" t="s">
        <v>142</v>
      </c>
      <c r="AG38" s="6" t="s">
        <v>141</v>
      </c>
      <c r="AH38" s="6" t="s">
        <v>141</v>
      </c>
      <c r="AI38" s="6" t="s">
        <v>141</v>
      </c>
      <c r="AJ38" s="6" t="s">
        <v>143</v>
      </c>
      <c r="AK38" s="6" t="s">
        <v>144</v>
      </c>
      <c r="AL38" s="6" t="s">
        <v>142</v>
      </c>
      <c r="AM38" s="6" t="s">
        <v>143</v>
      </c>
      <c r="AN38" s="6" t="s">
        <v>144</v>
      </c>
      <c r="AO38" s="6" t="s">
        <v>142</v>
      </c>
      <c r="AP38" s="6" t="s">
        <v>142</v>
      </c>
      <c r="AQ38" s="6" t="s">
        <v>141</v>
      </c>
      <c r="AR38" s="6" t="s">
        <v>142</v>
      </c>
      <c r="AS38" s="6" t="s">
        <v>142</v>
      </c>
      <c r="AT38" s="6" t="s">
        <v>142</v>
      </c>
      <c r="AU38" s="6" t="s">
        <v>141</v>
      </c>
      <c r="AV38" s="6" t="s">
        <v>141</v>
      </c>
      <c r="AW38" s="6" t="s">
        <v>141</v>
      </c>
      <c r="AX38" s="6" t="s">
        <v>142</v>
      </c>
      <c r="AY38" s="6" t="s">
        <v>142</v>
      </c>
    </row>
    <row r="39" spans="1:51" x14ac:dyDescent="0.2">
      <c r="A39" t="s">
        <v>141</v>
      </c>
      <c r="B39" s="6" t="str">
        <f t="shared" si="5"/>
        <v>B</v>
      </c>
      <c r="C39" s="7">
        <v>790131</v>
      </c>
      <c r="D39" s="7">
        <v>790131</v>
      </c>
      <c r="E39" t="str">
        <f>_xlfn.XLOOKUP(D39,'Student Roster'!A:A,'Student Roster'!B:B, "Not Found")</f>
        <v>Garcia, Andres</v>
      </c>
      <c r="F39">
        <f>_xlfn.XLOOKUP(D39,'Student Roster'!A:A,'Student Roster'!C:C, "Not Found")</f>
        <v>43957</v>
      </c>
      <c r="G39" t="s">
        <v>175</v>
      </c>
      <c r="H39">
        <v>43957</v>
      </c>
      <c r="J39" s="15" cm="1">
        <f t="array" ref="J39">SUMPRODUCT(--(Q39:AO39=IF(B39="A",$Q$5:$AO$5,$Q$6:$AO$6)))</f>
        <v>17</v>
      </c>
      <c r="K39" cm="1">
        <f t="array" ref="K39">SUMPRODUCT(--(AP39:AY39=IF(B39="A",$AP$5:$AY$5,$AP$6:$AY$6)))</f>
        <v>6</v>
      </c>
      <c r="L39" cm="1">
        <f t="array" ref="L39">SUMPRODUCT(--($Q39:$AO39 = IF($B39="A", $Q$5:$AO$5, $Q$6:$AO$6)),--IF($B39="A", (COLUMN($Q39:$AO39)&lt;&gt;COLUMN($W$8)), (COLUMN($Q39:$AO39)&lt;&gt;COLUMN($Z$8))))</f>
        <v>16</v>
      </c>
      <c r="M39">
        <f t="shared" si="1"/>
        <v>6</v>
      </c>
      <c r="N39">
        <f t="shared" si="2"/>
        <v>54</v>
      </c>
      <c r="O39" s="20">
        <f t="shared" si="3"/>
        <v>65.853658536585371</v>
      </c>
      <c r="P39" s="21">
        <f t="shared" si="4"/>
        <v>0.39865280819183196</v>
      </c>
      <c r="Q39" s="6" t="s">
        <v>142</v>
      </c>
      <c r="R39" s="6" t="s">
        <v>142</v>
      </c>
      <c r="S39" s="6" t="s">
        <v>143</v>
      </c>
      <c r="T39" s="6" t="s">
        <v>144</v>
      </c>
      <c r="U39" s="6" t="s">
        <v>145</v>
      </c>
      <c r="V39" s="6" t="s">
        <v>144</v>
      </c>
      <c r="W39" s="6" t="s">
        <v>143</v>
      </c>
      <c r="X39" s="6" t="s">
        <v>142</v>
      </c>
      <c r="Y39" s="6" t="s">
        <v>144</v>
      </c>
      <c r="Z39" s="6" t="s">
        <v>143</v>
      </c>
      <c r="AA39" s="6" t="s">
        <v>143</v>
      </c>
      <c r="AB39" s="6" t="s">
        <v>143</v>
      </c>
      <c r="AC39" s="6" t="s">
        <v>141</v>
      </c>
      <c r="AD39" s="6" t="s">
        <v>141</v>
      </c>
      <c r="AE39" s="6" t="s">
        <v>143</v>
      </c>
      <c r="AF39" s="6" t="s">
        <v>142</v>
      </c>
      <c r="AG39" s="6" t="s">
        <v>141</v>
      </c>
      <c r="AH39" s="6" t="s">
        <v>141</v>
      </c>
      <c r="AI39" s="6" t="s">
        <v>141</v>
      </c>
      <c r="AJ39" s="6" t="s">
        <v>141</v>
      </c>
      <c r="AK39" s="6" t="s">
        <v>144</v>
      </c>
      <c r="AL39" s="6" t="s">
        <v>143</v>
      </c>
      <c r="AM39" s="6" t="s">
        <v>143</v>
      </c>
      <c r="AN39" s="6" t="s">
        <v>144</v>
      </c>
      <c r="AO39" s="6" t="s">
        <v>141</v>
      </c>
      <c r="AP39" s="6" t="s">
        <v>142</v>
      </c>
      <c r="AQ39" s="6" t="s">
        <v>141</v>
      </c>
      <c r="AR39" s="6" t="s">
        <v>142</v>
      </c>
      <c r="AS39" s="6" t="s">
        <v>141</v>
      </c>
      <c r="AT39" s="6" t="s">
        <v>142</v>
      </c>
      <c r="AU39" s="6" t="s">
        <v>142</v>
      </c>
      <c r="AV39" s="6" t="s">
        <v>141</v>
      </c>
      <c r="AW39" s="6" t="s">
        <v>141</v>
      </c>
      <c r="AX39" s="6" t="s">
        <v>142</v>
      </c>
      <c r="AY39" s="6" t="s">
        <v>142</v>
      </c>
    </row>
    <row r="40" spans="1:51" x14ac:dyDescent="0.2">
      <c r="A40" t="s">
        <v>142</v>
      </c>
      <c r="B40" s="6" t="str">
        <f t="shared" si="5"/>
        <v>A</v>
      </c>
      <c r="C40" s="7">
        <v>1038679</v>
      </c>
      <c r="D40" s="7">
        <v>1038679</v>
      </c>
      <c r="E40" t="str">
        <f>_xlfn.XLOOKUP(D40,'Student Roster'!A:A,'Student Roster'!B:B, "Not Found")</f>
        <v>Hernandez, Arriel</v>
      </c>
      <c r="F40">
        <f>_xlfn.XLOOKUP(D40,'Student Roster'!A:A,'Student Roster'!C:C, "Not Found")</f>
        <v>43958</v>
      </c>
      <c r="G40" t="s">
        <v>191</v>
      </c>
      <c r="H40">
        <v>43958</v>
      </c>
      <c r="J40" s="15" cm="1">
        <f t="array" ref="J40">SUMPRODUCT(--(Q40:AO40=IF(B40="A",$Q$5:$AO$5,$Q$6:$AO$6)))</f>
        <v>15</v>
      </c>
      <c r="K40" cm="1">
        <f t="array" ref="K40">SUMPRODUCT(--(AP40:AY40=IF(B40="A",$AP$5:$AY$5,$AP$6:$AY$6)))</f>
        <v>4</v>
      </c>
      <c r="L40" cm="1">
        <f t="array" ref="L40">SUMPRODUCT(--($Q40:$AO40 = IF($B40="A", $Q$5:$AO$5, $Q$6:$AO$6)),--IF($B40="A", (COLUMN($Q40:$AO40)&lt;&gt;COLUMN($W$8)), (COLUMN($Q40:$AO40)&lt;&gt;COLUMN($Z$8))))</f>
        <v>14</v>
      </c>
      <c r="M40">
        <f t="shared" si="1"/>
        <v>4</v>
      </c>
      <c r="N40">
        <f t="shared" si="2"/>
        <v>46</v>
      </c>
      <c r="O40" s="20">
        <f t="shared" si="3"/>
        <v>56.097560975609753</v>
      </c>
      <c r="P40" s="21">
        <f t="shared" si="4"/>
        <v>-0.14867249942467539</v>
      </c>
      <c r="Q40" s="6" t="s">
        <v>142</v>
      </c>
      <c r="R40" s="6" t="s">
        <v>142</v>
      </c>
      <c r="S40" s="6" t="s">
        <v>142</v>
      </c>
      <c r="T40" s="6" t="s">
        <v>143</v>
      </c>
      <c r="U40" s="6" t="s">
        <v>143</v>
      </c>
      <c r="V40" s="6" t="s">
        <v>143</v>
      </c>
      <c r="W40" s="6" t="s">
        <v>143</v>
      </c>
      <c r="X40" s="6" t="s">
        <v>143</v>
      </c>
      <c r="Y40" s="6" t="s">
        <v>143</v>
      </c>
      <c r="Z40" s="6" t="s">
        <v>144</v>
      </c>
      <c r="AA40" s="6" t="s">
        <v>143</v>
      </c>
      <c r="AB40" s="6" t="s">
        <v>141</v>
      </c>
      <c r="AC40" s="6" t="s">
        <v>143</v>
      </c>
      <c r="AD40" s="6" t="s">
        <v>142</v>
      </c>
      <c r="AE40" s="6" t="s">
        <v>142</v>
      </c>
      <c r="AF40" s="6" t="s">
        <v>143</v>
      </c>
      <c r="AG40" s="6" t="s">
        <v>143</v>
      </c>
      <c r="AH40" s="6" t="s">
        <v>144</v>
      </c>
      <c r="AI40" s="6" t="s">
        <v>144</v>
      </c>
      <c r="AJ40" s="6" t="s">
        <v>144</v>
      </c>
      <c r="AK40" s="6" t="s">
        <v>143</v>
      </c>
      <c r="AL40" s="6" t="s">
        <v>144</v>
      </c>
      <c r="AM40" s="6" t="s">
        <v>144</v>
      </c>
      <c r="AN40" s="6" t="s">
        <v>144</v>
      </c>
      <c r="AO40" s="6" t="s">
        <v>143</v>
      </c>
      <c r="AP40" s="6" t="s">
        <v>141</v>
      </c>
      <c r="AQ40" s="6" t="s">
        <v>142</v>
      </c>
      <c r="AR40" s="6" t="s">
        <v>141</v>
      </c>
      <c r="AS40" s="6" t="s">
        <v>141</v>
      </c>
      <c r="AT40" s="6" t="s">
        <v>141</v>
      </c>
      <c r="AU40" s="6" t="s">
        <v>141</v>
      </c>
      <c r="AV40" s="6" t="s">
        <v>141</v>
      </c>
      <c r="AW40" s="6" t="s">
        <v>142</v>
      </c>
      <c r="AX40" s="6" t="s">
        <v>141</v>
      </c>
      <c r="AY40" s="6" t="s">
        <v>142</v>
      </c>
    </row>
    <row r="41" spans="1:51" x14ac:dyDescent="0.2">
      <c r="A41" t="s">
        <v>141</v>
      </c>
      <c r="B41" s="6" t="str">
        <f t="shared" si="5"/>
        <v>B</v>
      </c>
      <c r="C41" s="7">
        <v>684403</v>
      </c>
      <c r="D41" s="7">
        <v>684403</v>
      </c>
      <c r="E41" t="str">
        <f>_xlfn.XLOOKUP(D41,'Student Roster'!A:A,'Student Roster'!B:B, "Not Found")</f>
        <v>Morgan, Steven</v>
      </c>
      <c r="F41">
        <f>_xlfn.XLOOKUP(D41,'Student Roster'!A:A,'Student Roster'!C:C, "Not Found")</f>
        <v>43958</v>
      </c>
      <c r="G41" t="s">
        <v>211</v>
      </c>
      <c r="H41">
        <v>43958</v>
      </c>
      <c r="J41" s="15" cm="1">
        <f t="array" ref="J41">SUMPRODUCT(--(Q41:AO41=IF(B41="A",$Q$5:$AO$5,$Q$6:$AO$6)))</f>
        <v>18</v>
      </c>
      <c r="K41" cm="1">
        <f t="array" ref="K41">SUMPRODUCT(--(AP41:AY41=IF(B41="A",$AP$5:$AY$5,$AP$6:$AY$6)))</f>
        <v>7</v>
      </c>
      <c r="L41" cm="1">
        <f t="array" ref="L41">SUMPRODUCT(--($Q41:$AO41 = IF($B41="A", $Q$5:$AO$5, $Q$6:$AO$6)),--IF($B41="A", (COLUMN($Q41:$AO41)&lt;&gt;COLUMN($W$8)), (COLUMN($Q41:$AO41)&lt;&gt;COLUMN($Z$8))))</f>
        <v>17</v>
      </c>
      <c r="M41">
        <f t="shared" si="1"/>
        <v>7</v>
      </c>
      <c r="N41">
        <f t="shared" si="2"/>
        <v>58</v>
      </c>
      <c r="O41" s="20">
        <f t="shared" si="3"/>
        <v>70.731707317073173</v>
      </c>
      <c r="P41" s="21">
        <f t="shared" si="4"/>
        <v>0.6723154620000853</v>
      </c>
      <c r="Q41" s="6" t="s">
        <v>143</v>
      </c>
      <c r="R41" s="6" t="s">
        <v>144</v>
      </c>
      <c r="S41" s="6" t="s">
        <v>143</v>
      </c>
      <c r="T41" s="6" t="s">
        <v>144</v>
      </c>
      <c r="U41" s="6" t="s">
        <v>143</v>
      </c>
      <c r="V41" s="6" t="s">
        <v>143</v>
      </c>
      <c r="W41" s="6" t="s">
        <v>141</v>
      </c>
      <c r="X41" s="6" t="s">
        <v>144</v>
      </c>
      <c r="Y41" s="6" t="s">
        <v>143</v>
      </c>
      <c r="Z41" s="6" t="s">
        <v>143</v>
      </c>
      <c r="AA41" s="6" t="s">
        <v>143</v>
      </c>
      <c r="AB41" s="6" t="s">
        <v>143</v>
      </c>
      <c r="AC41" s="6" t="s">
        <v>141</v>
      </c>
      <c r="AD41" s="6" t="s">
        <v>144</v>
      </c>
      <c r="AE41" s="6" t="s">
        <v>143</v>
      </c>
      <c r="AF41" s="6" t="s">
        <v>142</v>
      </c>
      <c r="AG41" s="6" t="s">
        <v>141</v>
      </c>
      <c r="AH41" s="6" t="s">
        <v>141</v>
      </c>
      <c r="AI41" s="6" t="s">
        <v>141</v>
      </c>
      <c r="AJ41" s="6" t="s">
        <v>143</v>
      </c>
      <c r="AK41" s="6" t="s">
        <v>144</v>
      </c>
      <c r="AL41" s="6" t="s">
        <v>144</v>
      </c>
      <c r="AM41" s="6" t="s">
        <v>142</v>
      </c>
      <c r="AN41" s="6" t="s">
        <v>144</v>
      </c>
      <c r="AO41" s="6" t="s">
        <v>143</v>
      </c>
      <c r="AP41" s="6" t="s">
        <v>142</v>
      </c>
      <c r="AQ41" s="6" t="s">
        <v>141</v>
      </c>
      <c r="AR41" s="6" t="s">
        <v>142</v>
      </c>
      <c r="AS41" s="6" t="s">
        <v>141</v>
      </c>
      <c r="AT41" s="6" t="s">
        <v>142</v>
      </c>
      <c r="AU41" s="6" t="s">
        <v>142</v>
      </c>
      <c r="AV41" s="6" t="s">
        <v>141</v>
      </c>
      <c r="AW41" s="6" t="s">
        <v>142</v>
      </c>
      <c r="AX41" s="6" t="s">
        <v>142</v>
      </c>
      <c r="AY41" s="6" t="s">
        <v>142</v>
      </c>
    </row>
    <row r="42" spans="1:51" x14ac:dyDescent="0.2">
      <c r="A42" t="s">
        <v>142</v>
      </c>
      <c r="B42" s="6" t="str">
        <f t="shared" si="5"/>
        <v>A</v>
      </c>
      <c r="C42" s="7">
        <v>1047765</v>
      </c>
      <c r="D42" s="7">
        <v>1047765</v>
      </c>
      <c r="E42" t="str">
        <f>_xlfn.XLOOKUP(D42,'Student Roster'!A:A,'Student Roster'!B:B, "Not Found")</f>
        <v>Munoz Cisneros, Evelyn</v>
      </c>
      <c r="F42">
        <f>_xlfn.XLOOKUP(D42,'Student Roster'!A:A,'Student Roster'!C:C, "Not Found")</f>
        <v>43957</v>
      </c>
      <c r="G42" t="s">
        <v>215</v>
      </c>
      <c r="H42">
        <v>43957</v>
      </c>
      <c r="J42" s="15" cm="1">
        <f t="array" ref="J42">SUMPRODUCT(--(Q42:AO42=IF(B42="A",$Q$5:$AO$5,$Q$6:$AO$6)))</f>
        <v>12</v>
      </c>
      <c r="K42" cm="1">
        <f t="array" ref="K42">SUMPRODUCT(--(AP42:AY42=IF(B42="A",$AP$5:$AY$5,$AP$6:$AY$6)))</f>
        <v>5</v>
      </c>
      <c r="L42" cm="1">
        <f t="array" ref="L42">SUMPRODUCT(--($Q42:$AO42 = IF($B42="A", $Q$5:$AO$5, $Q$6:$AO$6)),--IF($B42="A", (COLUMN($Q42:$AO42)&lt;&gt;COLUMN($W$8)), (COLUMN($Q42:$AO42)&lt;&gt;COLUMN($Z$8))))</f>
        <v>11</v>
      </c>
      <c r="M42">
        <f t="shared" si="1"/>
        <v>5</v>
      </c>
      <c r="N42">
        <f t="shared" si="2"/>
        <v>38</v>
      </c>
      <c r="O42" s="20">
        <f t="shared" si="3"/>
        <v>46.341463414634148</v>
      </c>
      <c r="P42" s="21">
        <f t="shared" si="4"/>
        <v>-0.69599780704118197</v>
      </c>
      <c r="Q42" s="6" t="s">
        <v>144</v>
      </c>
      <c r="R42" s="6" t="s">
        <v>143</v>
      </c>
      <c r="S42" s="6" t="s">
        <v>142</v>
      </c>
      <c r="T42" s="6" t="s">
        <v>144</v>
      </c>
      <c r="U42" s="6" t="s">
        <v>142</v>
      </c>
      <c r="V42" s="6" t="s">
        <v>141</v>
      </c>
      <c r="W42" s="6" t="s">
        <v>143</v>
      </c>
      <c r="X42" s="6" t="s">
        <v>141</v>
      </c>
      <c r="Y42" s="6" t="s">
        <v>143</v>
      </c>
      <c r="Z42" s="6" t="s">
        <v>145</v>
      </c>
      <c r="AA42" s="6" t="s">
        <v>142</v>
      </c>
      <c r="AB42" s="6" t="s">
        <v>144</v>
      </c>
      <c r="AC42" s="6" t="s">
        <v>144</v>
      </c>
      <c r="AD42" s="6" t="s">
        <v>143</v>
      </c>
      <c r="AE42" s="6" t="s">
        <v>144</v>
      </c>
      <c r="AF42" s="6" t="s">
        <v>143</v>
      </c>
      <c r="AG42" s="6" t="s">
        <v>142</v>
      </c>
      <c r="AH42" s="6" t="s">
        <v>144</v>
      </c>
      <c r="AI42" s="6" t="s">
        <v>145</v>
      </c>
      <c r="AJ42" s="6" t="s">
        <v>144</v>
      </c>
      <c r="AK42" s="6" t="s">
        <v>143</v>
      </c>
      <c r="AL42" s="6" t="s">
        <v>144</v>
      </c>
      <c r="AM42" s="6" t="s">
        <v>143</v>
      </c>
      <c r="AN42" s="6" t="s">
        <v>144</v>
      </c>
      <c r="AO42" s="6" t="s">
        <v>142</v>
      </c>
      <c r="AP42" s="6" t="s">
        <v>141</v>
      </c>
      <c r="AQ42" s="6" t="s">
        <v>142</v>
      </c>
      <c r="AR42" s="6" t="s">
        <v>142</v>
      </c>
      <c r="AS42" s="6" t="s">
        <v>142</v>
      </c>
      <c r="AT42" s="6" t="s">
        <v>141</v>
      </c>
      <c r="AU42" s="6" t="s">
        <v>141</v>
      </c>
      <c r="AV42" s="6" t="s">
        <v>142</v>
      </c>
      <c r="AW42" s="6" t="s">
        <v>141</v>
      </c>
      <c r="AX42" s="6" t="s">
        <v>142</v>
      </c>
      <c r="AY42" s="6" t="s">
        <v>142</v>
      </c>
    </row>
    <row r="43" spans="1:51" x14ac:dyDescent="0.2">
      <c r="A43" t="s">
        <v>142</v>
      </c>
      <c r="B43" s="6" t="str">
        <f t="shared" si="5"/>
        <v>A</v>
      </c>
      <c r="C43" s="7">
        <v>873290</v>
      </c>
      <c r="D43" s="7">
        <v>873290</v>
      </c>
      <c r="E43" t="str">
        <f>_xlfn.XLOOKUP(D43,'Student Roster'!A:A,'Student Roster'!B:B, "Not Found")</f>
        <v>Aquino, Hailey</v>
      </c>
      <c r="F43">
        <f>_xlfn.XLOOKUP(D43,'Student Roster'!A:A,'Student Roster'!C:C, "Not Found")</f>
        <v>43957</v>
      </c>
      <c r="G43" t="s">
        <v>155</v>
      </c>
      <c r="H43">
        <v>43957</v>
      </c>
      <c r="J43" s="15" cm="1">
        <f t="array" ref="J43">SUMPRODUCT(--(Q43:AO43=IF(B43="A",$Q$5:$AO$5,$Q$6:$AO$6)))</f>
        <v>24</v>
      </c>
      <c r="K43" cm="1">
        <f t="array" ref="K43">SUMPRODUCT(--(AP43:AY43=IF(B43="A",$AP$5:$AY$5,$AP$6:$AY$6)))</f>
        <v>10</v>
      </c>
      <c r="L43" cm="1">
        <f t="array" ref="L43">SUMPRODUCT(--($Q43:$AO43 = IF($B43="A", $Q$5:$AO$5, $Q$6:$AO$6)),--IF($B43="A", (COLUMN($Q43:$AO43)&lt;&gt;COLUMN($W$8)), (COLUMN($Q43:$AO43)&lt;&gt;COLUMN($Z$8))))</f>
        <v>23</v>
      </c>
      <c r="M43">
        <f t="shared" si="1"/>
        <v>10</v>
      </c>
      <c r="N43">
        <f t="shared" si="2"/>
        <v>79</v>
      </c>
      <c r="O43" s="20">
        <f t="shared" si="3"/>
        <v>96.341463414634148</v>
      </c>
      <c r="P43" s="21">
        <f t="shared" si="4"/>
        <v>2.1090443944934156</v>
      </c>
      <c r="Q43" s="6" t="s">
        <v>141</v>
      </c>
      <c r="R43" s="6" t="s">
        <v>142</v>
      </c>
      <c r="S43" s="6" t="s">
        <v>142</v>
      </c>
      <c r="T43" s="6" t="s">
        <v>143</v>
      </c>
      <c r="U43" s="6" t="s">
        <v>143</v>
      </c>
      <c r="V43" s="6" t="s">
        <v>144</v>
      </c>
      <c r="W43" s="6" t="s">
        <v>143</v>
      </c>
      <c r="X43" s="6" t="s">
        <v>143</v>
      </c>
      <c r="Y43" s="6" t="s">
        <v>143</v>
      </c>
      <c r="Z43" s="6" t="s">
        <v>144</v>
      </c>
      <c r="AA43" s="6" t="s">
        <v>143</v>
      </c>
      <c r="AB43" s="6" t="s">
        <v>142</v>
      </c>
      <c r="AC43" s="6" t="s">
        <v>143</v>
      </c>
      <c r="AD43" s="6" t="s">
        <v>143</v>
      </c>
      <c r="AE43" s="6" t="s">
        <v>144</v>
      </c>
      <c r="AF43" s="6" t="s">
        <v>143</v>
      </c>
      <c r="AG43" s="6" t="s">
        <v>142</v>
      </c>
      <c r="AH43" s="6" t="s">
        <v>141</v>
      </c>
      <c r="AI43" s="6" t="s">
        <v>141</v>
      </c>
      <c r="AJ43" s="6" t="s">
        <v>144</v>
      </c>
      <c r="AK43" s="6" t="s">
        <v>143</v>
      </c>
      <c r="AL43" s="6" t="s">
        <v>144</v>
      </c>
      <c r="AM43" s="6" t="s">
        <v>143</v>
      </c>
      <c r="AN43" s="6" t="s">
        <v>144</v>
      </c>
      <c r="AO43" s="6" t="s">
        <v>141</v>
      </c>
      <c r="AP43" s="6" t="s">
        <v>142</v>
      </c>
      <c r="AQ43" s="6" t="s">
        <v>142</v>
      </c>
      <c r="AR43" s="6" t="s">
        <v>142</v>
      </c>
      <c r="AS43" s="6" t="s">
        <v>141</v>
      </c>
      <c r="AT43" s="6" t="s">
        <v>141</v>
      </c>
      <c r="AU43" s="6" t="s">
        <v>142</v>
      </c>
      <c r="AV43" s="6" t="s">
        <v>141</v>
      </c>
      <c r="AW43" s="6" t="s">
        <v>141</v>
      </c>
      <c r="AX43" s="6" t="s">
        <v>142</v>
      </c>
      <c r="AY43" s="6" t="s">
        <v>141</v>
      </c>
    </row>
    <row r="44" spans="1:51" x14ac:dyDescent="0.2">
      <c r="A44" t="s">
        <v>141</v>
      </c>
      <c r="B44" s="6" t="str">
        <f t="shared" si="5"/>
        <v>B</v>
      </c>
      <c r="C44" s="7">
        <v>1039936</v>
      </c>
      <c r="D44" s="7">
        <v>1039936</v>
      </c>
      <c r="E44" t="str">
        <f>_xlfn.XLOOKUP(D44,'Student Roster'!A:A,'Student Roster'!B:B, "Not Found")</f>
        <v>Gamez, Sergio</v>
      </c>
      <c r="F44">
        <f>_xlfn.XLOOKUP(D44,'Student Roster'!A:A,'Student Roster'!C:C, "Not Found")</f>
        <v>43957</v>
      </c>
      <c r="G44" t="s">
        <v>173</v>
      </c>
      <c r="H44">
        <v>43957</v>
      </c>
      <c r="J44" s="15" cm="1">
        <f t="array" ref="J44">SUMPRODUCT(--(Q44:AO44=IF(B44="A",$Q$5:$AO$5,$Q$6:$AO$6)))</f>
        <v>15</v>
      </c>
      <c r="K44" cm="1">
        <f t="array" ref="K44">SUMPRODUCT(--(AP44:AY44=IF(B44="A",$AP$5:$AY$5,$AP$6:$AY$6)))</f>
        <v>8</v>
      </c>
      <c r="L44" cm="1">
        <f t="array" ref="L44">SUMPRODUCT(--($Q44:$AO44 = IF($B44="A", $Q$5:$AO$5, $Q$6:$AO$6)),--IF($B44="A", (COLUMN($Q44:$AO44)&lt;&gt;COLUMN($W$8)), (COLUMN($Q44:$AO44)&lt;&gt;COLUMN($Z$8))))</f>
        <v>14</v>
      </c>
      <c r="M44">
        <f t="shared" si="1"/>
        <v>8</v>
      </c>
      <c r="N44">
        <f t="shared" si="2"/>
        <v>50</v>
      </c>
      <c r="O44" s="20">
        <f t="shared" si="3"/>
        <v>60.975609756097562</v>
      </c>
      <c r="P44" s="21">
        <f t="shared" si="4"/>
        <v>0.1249901543835783</v>
      </c>
      <c r="Q44" s="6" t="s">
        <v>143</v>
      </c>
      <c r="R44" s="6" t="s">
        <v>141</v>
      </c>
      <c r="S44" s="6" t="s">
        <v>143</v>
      </c>
      <c r="T44" s="6" t="s">
        <v>144</v>
      </c>
      <c r="U44" s="6" t="s">
        <v>143</v>
      </c>
      <c r="V44" s="6" t="s">
        <v>143</v>
      </c>
      <c r="W44" s="6" t="s">
        <v>143</v>
      </c>
      <c r="X44" s="6" t="s">
        <v>144</v>
      </c>
      <c r="Y44" s="6" t="s">
        <v>142</v>
      </c>
      <c r="Z44" s="6" t="s">
        <v>143</v>
      </c>
      <c r="AA44" s="6" t="s">
        <v>143</v>
      </c>
      <c r="AB44" s="6" t="s">
        <v>141</v>
      </c>
      <c r="AC44" s="6" t="s">
        <v>143</v>
      </c>
      <c r="AD44" s="6" t="s">
        <v>142</v>
      </c>
      <c r="AE44" s="6" t="s">
        <v>143</v>
      </c>
      <c r="AF44" s="6" t="s">
        <v>145</v>
      </c>
      <c r="AG44" s="6" t="s">
        <v>141</v>
      </c>
      <c r="AH44" s="6" t="s">
        <v>141</v>
      </c>
      <c r="AI44" s="6" t="s">
        <v>142</v>
      </c>
      <c r="AJ44" s="6" t="s">
        <v>143</v>
      </c>
      <c r="AK44" s="6" t="s">
        <v>144</v>
      </c>
      <c r="AL44" s="6" t="s">
        <v>141</v>
      </c>
      <c r="AM44" s="6" t="s">
        <v>143</v>
      </c>
      <c r="AN44" s="6" t="s">
        <v>144</v>
      </c>
      <c r="AO44" s="6" t="s">
        <v>142</v>
      </c>
      <c r="AP44" s="6" t="s">
        <v>142</v>
      </c>
      <c r="AQ44" s="6" t="s">
        <v>141</v>
      </c>
      <c r="AR44" s="6" t="s">
        <v>141</v>
      </c>
      <c r="AS44" s="6" t="s">
        <v>142</v>
      </c>
      <c r="AT44" s="6" t="s">
        <v>142</v>
      </c>
      <c r="AU44" s="6" t="s">
        <v>142</v>
      </c>
      <c r="AV44" s="6" t="s">
        <v>141</v>
      </c>
      <c r="AW44" s="6" t="s">
        <v>141</v>
      </c>
      <c r="AX44" s="6" t="s">
        <v>142</v>
      </c>
      <c r="AY44" s="6" t="s">
        <v>142</v>
      </c>
    </row>
    <row r="45" spans="1:51" x14ac:dyDescent="0.2">
      <c r="A45" t="s">
        <v>142</v>
      </c>
      <c r="B45" s="6" t="str">
        <f t="shared" si="5"/>
        <v>A</v>
      </c>
      <c r="C45" s="7">
        <v>833771</v>
      </c>
      <c r="D45" s="7">
        <v>833771</v>
      </c>
      <c r="E45" t="str">
        <f>_xlfn.XLOOKUP(D45,'Student Roster'!A:A,'Student Roster'!B:B, "Not Found")</f>
        <v>Perales, April</v>
      </c>
      <c r="F45">
        <f>_xlfn.XLOOKUP(D45,'Student Roster'!A:A,'Student Roster'!C:C, "Not Found")</f>
        <v>43958</v>
      </c>
      <c r="G45" t="s">
        <v>231</v>
      </c>
      <c r="H45">
        <v>43958</v>
      </c>
      <c r="J45" s="15" cm="1">
        <f t="array" ref="J45">SUMPRODUCT(--(Q45:AO45=IF(B45="A",$Q$5:$AO$5,$Q$6:$AO$6)))</f>
        <v>11</v>
      </c>
      <c r="K45" cm="1">
        <f t="array" ref="K45">SUMPRODUCT(--(AP45:AY45=IF(B45="A",$AP$5:$AY$5,$AP$6:$AY$6)))</f>
        <v>4</v>
      </c>
      <c r="L45" cm="1">
        <f t="array" ref="L45">SUMPRODUCT(--($Q45:$AO45 = IF($B45="A", $Q$5:$AO$5, $Q$6:$AO$6)),--IF($B45="A", (COLUMN($Q45:$AO45)&lt;&gt;COLUMN($W$8)), (COLUMN($Q45:$AO45)&lt;&gt;COLUMN($Z$8))))</f>
        <v>10</v>
      </c>
      <c r="M45">
        <f t="shared" si="1"/>
        <v>4</v>
      </c>
      <c r="N45">
        <f t="shared" si="2"/>
        <v>34</v>
      </c>
      <c r="O45" s="20">
        <f t="shared" si="3"/>
        <v>41.463414634146339</v>
      </c>
      <c r="P45" s="21">
        <f t="shared" si="4"/>
        <v>-0.96966046084943569</v>
      </c>
      <c r="Q45" s="6" t="s">
        <v>142</v>
      </c>
      <c r="R45" s="6" t="s">
        <v>143</v>
      </c>
      <c r="S45" s="6" t="s">
        <v>142</v>
      </c>
      <c r="T45" s="6" t="s">
        <v>144</v>
      </c>
      <c r="U45" s="6" t="s">
        <v>143</v>
      </c>
      <c r="V45" s="6" t="s">
        <v>142</v>
      </c>
      <c r="W45" s="6" t="s">
        <v>143</v>
      </c>
      <c r="X45" s="6" t="s">
        <v>143</v>
      </c>
      <c r="Y45" s="6" t="s">
        <v>141</v>
      </c>
      <c r="Z45" s="6" t="s">
        <v>143</v>
      </c>
      <c r="AA45" s="6" t="s">
        <v>143</v>
      </c>
      <c r="AB45" s="6" t="s">
        <v>142</v>
      </c>
      <c r="AC45" s="6" t="s">
        <v>143</v>
      </c>
      <c r="AD45" s="6" t="s">
        <v>142</v>
      </c>
      <c r="AE45" s="6" t="s">
        <v>144</v>
      </c>
      <c r="AF45" s="6" t="s">
        <v>141</v>
      </c>
      <c r="AG45" s="6" t="s">
        <v>144</v>
      </c>
      <c r="AH45" s="6" t="s">
        <v>144</v>
      </c>
      <c r="AI45" s="6" t="s">
        <v>141</v>
      </c>
      <c r="AJ45" s="6" t="s">
        <v>142</v>
      </c>
      <c r="AK45" s="6" t="s">
        <v>143</v>
      </c>
      <c r="AL45" s="6" t="s">
        <v>144</v>
      </c>
      <c r="AM45" s="6" t="s">
        <v>142</v>
      </c>
      <c r="AN45" s="6" t="s">
        <v>144</v>
      </c>
      <c r="AO45" s="6" t="s">
        <v>142</v>
      </c>
      <c r="AP45" s="6" t="s">
        <v>141</v>
      </c>
      <c r="AQ45" s="6" t="s">
        <v>142</v>
      </c>
      <c r="AR45" s="6" t="s">
        <v>141</v>
      </c>
      <c r="AS45" s="6" t="s">
        <v>142</v>
      </c>
      <c r="AT45" s="6" t="s">
        <v>142</v>
      </c>
      <c r="AU45" s="6" t="s">
        <v>142</v>
      </c>
      <c r="AV45" s="6" t="s">
        <v>141</v>
      </c>
      <c r="AW45" s="6" t="s">
        <v>142</v>
      </c>
      <c r="AX45" s="6" t="s">
        <v>142</v>
      </c>
      <c r="AY45" s="6" t="s">
        <v>142</v>
      </c>
    </row>
    <row r="46" spans="1:51" x14ac:dyDescent="0.2">
      <c r="A46" t="s">
        <v>142</v>
      </c>
      <c r="B46" s="6" t="str">
        <f t="shared" si="5"/>
        <v>A</v>
      </c>
      <c r="C46" s="7">
        <v>1014825</v>
      </c>
      <c r="D46" s="7">
        <v>1014825</v>
      </c>
      <c r="E46" t="str">
        <f>_xlfn.XLOOKUP(D46,'Student Roster'!A:A,'Student Roster'!B:B, "Not Found")</f>
        <v>Musso, Isabella</v>
      </c>
      <c r="F46">
        <f>_xlfn.XLOOKUP(D46,'Student Roster'!A:A,'Student Roster'!C:C, "Not Found")</f>
        <v>43958</v>
      </c>
      <c r="G46" t="s">
        <v>217</v>
      </c>
      <c r="H46">
        <v>43958</v>
      </c>
      <c r="J46" s="15" cm="1">
        <f t="array" ref="J46">SUMPRODUCT(--(Q46:AO46=IF(B46="A",$Q$5:$AO$5,$Q$6:$AO$6)))</f>
        <v>19</v>
      </c>
      <c r="K46" cm="1">
        <f t="array" ref="K46">SUMPRODUCT(--(AP46:AY46=IF(B46="A",$AP$5:$AY$5,$AP$6:$AY$6)))</f>
        <v>8</v>
      </c>
      <c r="L46" cm="1">
        <f t="array" ref="L46">SUMPRODUCT(--($Q46:$AO46 = IF($B46="A", $Q$5:$AO$5, $Q$6:$AO$6)),--IF($B46="A", (COLUMN($Q46:$AO46)&lt;&gt;COLUMN($W$8)), (COLUMN($Q46:$AO46)&lt;&gt;COLUMN($Z$8))))</f>
        <v>18</v>
      </c>
      <c r="M46">
        <f t="shared" si="1"/>
        <v>8</v>
      </c>
      <c r="N46">
        <f t="shared" si="2"/>
        <v>62</v>
      </c>
      <c r="O46" s="20">
        <f t="shared" si="3"/>
        <v>75.609756097560975</v>
      </c>
      <c r="P46" s="21">
        <f t="shared" si="4"/>
        <v>0.94597811580833857</v>
      </c>
      <c r="Q46" s="6" t="s">
        <v>141</v>
      </c>
      <c r="R46" s="6" t="s">
        <v>142</v>
      </c>
      <c r="S46" s="6" t="s">
        <v>142</v>
      </c>
      <c r="T46" s="6" t="s">
        <v>143</v>
      </c>
      <c r="U46" s="6" t="s">
        <v>143</v>
      </c>
      <c r="V46" s="6" t="s">
        <v>144</v>
      </c>
      <c r="W46" s="6" t="s">
        <v>143</v>
      </c>
      <c r="X46" s="6" t="s">
        <v>143</v>
      </c>
      <c r="Y46" s="6" t="s">
        <v>143</v>
      </c>
      <c r="Z46" s="6" t="s">
        <v>144</v>
      </c>
      <c r="AA46" s="6" t="s">
        <v>143</v>
      </c>
      <c r="AB46" s="6" t="s">
        <v>144</v>
      </c>
      <c r="AC46" s="6" t="s">
        <v>141</v>
      </c>
      <c r="AD46" s="6" t="s">
        <v>143</v>
      </c>
      <c r="AE46" s="6" t="s">
        <v>141</v>
      </c>
      <c r="AF46" s="6" t="s">
        <v>143</v>
      </c>
      <c r="AG46" s="6" t="s">
        <v>142</v>
      </c>
      <c r="AH46" s="6" t="s">
        <v>141</v>
      </c>
      <c r="AI46" s="6" t="s">
        <v>141</v>
      </c>
      <c r="AJ46" s="6" t="s">
        <v>144</v>
      </c>
      <c r="AK46" s="6" t="s">
        <v>141</v>
      </c>
      <c r="AL46" s="6" t="s">
        <v>143</v>
      </c>
      <c r="AM46" s="6" t="s">
        <v>143</v>
      </c>
      <c r="AN46" s="6" t="s">
        <v>144</v>
      </c>
      <c r="AO46" s="6" t="s">
        <v>143</v>
      </c>
      <c r="AP46" s="6" t="s">
        <v>141</v>
      </c>
      <c r="AQ46" s="6" t="s">
        <v>142</v>
      </c>
      <c r="AR46" s="6" t="s">
        <v>142</v>
      </c>
      <c r="AS46" s="6" t="s">
        <v>141</v>
      </c>
      <c r="AT46" s="6" t="s">
        <v>142</v>
      </c>
      <c r="AU46" s="6" t="s">
        <v>142</v>
      </c>
      <c r="AV46" s="6" t="s">
        <v>141</v>
      </c>
      <c r="AW46" s="6" t="s">
        <v>141</v>
      </c>
      <c r="AX46" s="6" t="s">
        <v>142</v>
      </c>
      <c r="AY46" s="6" t="s">
        <v>141</v>
      </c>
    </row>
    <row r="47" spans="1:51" x14ac:dyDescent="0.2">
      <c r="A47" t="s">
        <v>141</v>
      </c>
      <c r="B47" s="6" t="str">
        <f t="shared" si="5"/>
        <v>B</v>
      </c>
      <c r="C47" s="7">
        <v>1039827</v>
      </c>
      <c r="D47" s="7">
        <v>1039827</v>
      </c>
      <c r="E47" t="str">
        <f>_xlfn.XLOOKUP(D47,'Student Roster'!A:A,'Student Roster'!B:B, "Not Found")</f>
        <v>Olea, Joscelyne</v>
      </c>
      <c r="F47">
        <f>_xlfn.XLOOKUP(D47,'Student Roster'!A:A,'Student Roster'!C:C, "Not Found")</f>
        <v>43957</v>
      </c>
      <c r="G47" t="s">
        <v>223</v>
      </c>
      <c r="H47">
        <v>43957</v>
      </c>
      <c r="J47" s="15" cm="1">
        <f t="array" ref="J47">SUMPRODUCT(--(Q47:AO47=IF(B47="A",$Q$5:$AO$5,$Q$6:$AO$6)))</f>
        <v>19</v>
      </c>
      <c r="K47" cm="1">
        <f t="array" ref="K47">SUMPRODUCT(--(AP47:AY47=IF(B47="A",$AP$5:$AY$5,$AP$6:$AY$6)))</f>
        <v>7</v>
      </c>
      <c r="L47" cm="1">
        <f t="array" ref="L47">SUMPRODUCT(--($Q47:$AO47 = IF($B47="A", $Q$5:$AO$5, $Q$6:$AO$6)),--IF($B47="A", (COLUMN($Q47:$AO47)&lt;&gt;COLUMN($W$8)), (COLUMN($Q47:$AO47)&lt;&gt;COLUMN($Z$8))))</f>
        <v>18</v>
      </c>
      <c r="M47">
        <f t="shared" si="1"/>
        <v>7</v>
      </c>
      <c r="N47">
        <f t="shared" si="2"/>
        <v>61</v>
      </c>
      <c r="O47" s="20">
        <f t="shared" si="3"/>
        <v>74.390243902439025</v>
      </c>
      <c r="P47" s="21">
        <f t="shared" si="4"/>
        <v>0.87756245235627517</v>
      </c>
      <c r="Q47" s="6" t="s">
        <v>142</v>
      </c>
      <c r="R47" s="6" t="s">
        <v>142</v>
      </c>
      <c r="S47" s="6" t="s">
        <v>143</v>
      </c>
      <c r="T47" s="6" t="s">
        <v>144</v>
      </c>
      <c r="U47" s="6" t="s">
        <v>145</v>
      </c>
      <c r="V47" s="6" t="s">
        <v>143</v>
      </c>
      <c r="W47" s="6" t="s">
        <v>143</v>
      </c>
      <c r="X47" s="6" t="s">
        <v>144</v>
      </c>
      <c r="Y47" s="6" t="s">
        <v>142</v>
      </c>
      <c r="Z47" s="6" t="s">
        <v>143</v>
      </c>
      <c r="AA47" s="6" t="s">
        <v>143</v>
      </c>
      <c r="AB47" s="6" t="s">
        <v>143</v>
      </c>
      <c r="AC47" s="6" t="s">
        <v>141</v>
      </c>
      <c r="AD47" s="6" t="s">
        <v>142</v>
      </c>
      <c r="AE47" s="6" t="s">
        <v>143</v>
      </c>
      <c r="AF47" s="6" t="s">
        <v>144</v>
      </c>
      <c r="AG47" s="6" t="s">
        <v>141</v>
      </c>
      <c r="AH47" s="6" t="s">
        <v>141</v>
      </c>
      <c r="AI47" s="6" t="s">
        <v>141</v>
      </c>
      <c r="AJ47" s="6" t="s">
        <v>143</v>
      </c>
      <c r="AK47" s="6" t="s">
        <v>144</v>
      </c>
      <c r="AL47" s="6" t="s">
        <v>141</v>
      </c>
      <c r="AM47" s="6" t="s">
        <v>143</v>
      </c>
      <c r="AN47" s="6" t="s">
        <v>144</v>
      </c>
      <c r="AO47" s="6" t="s">
        <v>141</v>
      </c>
      <c r="AP47" s="6" t="s">
        <v>142</v>
      </c>
      <c r="AQ47" s="6" t="s">
        <v>141</v>
      </c>
      <c r="AR47" s="6" t="s">
        <v>142</v>
      </c>
      <c r="AS47" s="6" t="s">
        <v>141</v>
      </c>
      <c r="AT47" s="6" t="s">
        <v>142</v>
      </c>
      <c r="AU47" s="6" t="s">
        <v>142</v>
      </c>
      <c r="AV47" s="6" t="s">
        <v>141</v>
      </c>
      <c r="AW47" s="6" t="s">
        <v>141</v>
      </c>
      <c r="AX47" s="6" t="s">
        <v>142</v>
      </c>
      <c r="AY47" s="6" t="s">
        <v>141</v>
      </c>
    </row>
    <row r="48" spans="1:51" x14ac:dyDescent="0.2">
      <c r="A48" t="s">
        <v>141</v>
      </c>
      <c r="B48" s="6" t="str">
        <f t="shared" si="5"/>
        <v>B</v>
      </c>
      <c r="C48" s="7">
        <v>977963</v>
      </c>
      <c r="D48" s="7">
        <v>977963</v>
      </c>
      <c r="E48" t="str">
        <f>_xlfn.XLOOKUP(D48,'Student Roster'!A:A,'Student Roster'!B:B, "Not Found")</f>
        <v>Maravilla Martinez, Rogelio</v>
      </c>
      <c r="F48">
        <f>_xlfn.XLOOKUP(D48,'Student Roster'!A:A,'Student Roster'!C:C, "Not Found")</f>
        <v>43958</v>
      </c>
      <c r="G48" t="s">
        <v>203</v>
      </c>
      <c r="H48">
        <v>43958</v>
      </c>
      <c r="J48" s="15" cm="1">
        <f t="array" ref="J48">SUMPRODUCT(--(Q48:AO48=IF(B48="A",$Q$5:$AO$5,$Q$6:$AO$6)))</f>
        <v>18</v>
      </c>
      <c r="K48" cm="1">
        <f t="array" ref="K48">SUMPRODUCT(--(AP48:AY48=IF(B48="A",$AP$5:$AY$5,$AP$6:$AY$6)))</f>
        <v>6</v>
      </c>
      <c r="L48" cm="1">
        <f t="array" ref="L48">SUMPRODUCT(--($Q48:$AO48 = IF($B48="A", $Q$5:$AO$5, $Q$6:$AO$6)),--IF($B48="A", (COLUMN($Q48:$AO48)&lt;&gt;COLUMN($W$8)), (COLUMN($Q48:$AO48)&lt;&gt;COLUMN($Z$8))))</f>
        <v>17</v>
      </c>
      <c r="M48">
        <f t="shared" si="1"/>
        <v>6</v>
      </c>
      <c r="N48">
        <f t="shared" si="2"/>
        <v>57</v>
      </c>
      <c r="O48" s="20">
        <f t="shared" si="3"/>
        <v>69.512195121951223</v>
      </c>
      <c r="P48" s="21">
        <f t="shared" si="4"/>
        <v>0.60389979854802189</v>
      </c>
      <c r="Q48" s="6" t="s">
        <v>143</v>
      </c>
      <c r="R48" s="6" t="s">
        <v>143</v>
      </c>
      <c r="S48" s="6" t="s">
        <v>143</v>
      </c>
      <c r="T48" s="6" t="s">
        <v>144</v>
      </c>
      <c r="U48" s="6" t="s">
        <v>143</v>
      </c>
      <c r="V48" s="6" t="s">
        <v>143</v>
      </c>
      <c r="W48" s="6" t="s">
        <v>143</v>
      </c>
      <c r="X48" s="6" t="s">
        <v>144</v>
      </c>
      <c r="Y48" s="6" t="s">
        <v>142</v>
      </c>
      <c r="Z48" s="6" t="s">
        <v>143</v>
      </c>
      <c r="AA48" s="6" t="s">
        <v>141</v>
      </c>
      <c r="AB48" s="6" t="s">
        <v>143</v>
      </c>
      <c r="AC48" s="6" t="s">
        <v>144</v>
      </c>
      <c r="AD48" s="6" t="s">
        <v>144</v>
      </c>
      <c r="AE48" s="6" t="s">
        <v>143</v>
      </c>
      <c r="AF48" s="6" t="s">
        <v>144</v>
      </c>
      <c r="AG48" s="6" t="s">
        <v>141</v>
      </c>
      <c r="AH48" s="6" t="s">
        <v>141</v>
      </c>
      <c r="AI48" s="6" t="s">
        <v>141</v>
      </c>
      <c r="AJ48" s="6" t="s">
        <v>143</v>
      </c>
      <c r="AK48" s="6" t="s">
        <v>144</v>
      </c>
      <c r="AL48" s="6" t="s">
        <v>141</v>
      </c>
      <c r="AM48" s="6" t="s">
        <v>143</v>
      </c>
      <c r="AN48" s="6" t="s">
        <v>144</v>
      </c>
      <c r="AO48" s="6" t="s">
        <v>141</v>
      </c>
      <c r="AP48" s="6" t="s">
        <v>142</v>
      </c>
      <c r="AQ48" s="6" t="s">
        <v>141</v>
      </c>
      <c r="AR48" s="6" t="s">
        <v>142</v>
      </c>
      <c r="AS48" s="6" t="s">
        <v>141</v>
      </c>
      <c r="AT48" s="6" t="s">
        <v>142</v>
      </c>
      <c r="AU48" s="6" t="s">
        <v>142</v>
      </c>
      <c r="AV48" s="6" t="s">
        <v>142</v>
      </c>
      <c r="AW48" s="6" t="s">
        <v>142</v>
      </c>
      <c r="AX48" s="6" t="s">
        <v>142</v>
      </c>
      <c r="AY48" s="6" t="s">
        <v>142</v>
      </c>
    </row>
    <row r="49" spans="1:51" x14ac:dyDescent="0.2">
      <c r="A49" t="s">
        <v>149</v>
      </c>
      <c r="B49" s="14" t="s">
        <v>141</v>
      </c>
      <c r="C49" s="7">
        <v>896290</v>
      </c>
      <c r="D49" s="7">
        <v>896290</v>
      </c>
      <c r="E49" t="str">
        <f>_xlfn.XLOOKUP(D49,'Student Roster'!A:A,'Student Roster'!B:B, "Not Found")</f>
        <v>Tacadena, Elle</v>
      </c>
      <c r="F49">
        <f>_xlfn.XLOOKUP(D49,'Student Roster'!A:A,'Student Roster'!C:C, "Not Found")</f>
        <v>43957</v>
      </c>
      <c r="G49" t="s">
        <v>253</v>
      </c>
      <c r="H49">
        <v>43957</v>
      </c>
      <c r="J49" s="15" cm="1">
        <f t="array" ref="J49">SUMPRODUCT(--(Q49:AO49=IF(B49="A",$Q$5:$AO$5,$Q$6:$AO$6)))</f>
        <v>15</v>
      </c>
      <c r="K49" cm="1">
        <f t="array" ref="K49">SUMPRODUCT(--(AP49:AY49=IF(B49="A",$AP$5:$AY$5,$AP$6:$AY$6)))</f>
        <v>8</v>
      </c>
      <c r="L49" cm="1">
        <f t="array" ref="L49">SUMPRODUCT(--($Q49:$AO49 = IF($B49="A", $Q$5:$AO$5, $Q$6:$AO$6)),--IF($B49="A", (COLUMN($Q49:$AO49)&lt;&gt;COLUMN($W$8)), (COLUMN($Q49:$AO49)&lt;&gt;COLUMN($Z$8))))</f>
        <v>15</v>
      </c>
      <c r="M49">
        <f t="shared" si="1"/>
        <v>8</v>
      </c>
      <c r="N49">
        <f t="shared" si="2"/>
        <v>53</v>
      </c>
      <c r="O49" s="20">
        <f t="shared" si="3"/>
        <v>64.634146341463421</v>
      </c>
      <c r="P49" s="21">
        <f t="shared" si="4"/>
        <v>0.33023714473976867</v>
      </c>
      <c r="Q49" s="6" t="s">
        <v>143</v>
      </c>
      <c r="R49" s="6" t="s">
        <v>141</v>
      </c>
      <c r="S49" s="6" t="s">
        <v>143</v>
      </c>
      <c r="T49" s="6" t="s">
        <v>144</v>
      </c>
      <c r="U49" s="6" t="s">
        <v>143</v>
      </c>
      <c r="V49" s="6" t="s">
        <v>142</v>
      </c>
      <c r="W49" s="6" t="s">
        <v>143</v>
      </c>
      <c r="X49" s="6" t="s">
        <v>144</v>
      </c>
      <c r="Y49" s="6" t="s">
        <v>144</v>
      </c>
      <c r="Z49" s="6" t="s">
        <v>142</v>
      </c>
      <c r="AA49" s="6" t="s">
        <v>143</v>
      </c>
      <c r="AB49" s="6" t="s">
        <v>141</v>
      </c>
      <c r="AC49" s="6" t="s">
        <v>141</v>
      </c>
      <c r="AD49" s="6" t="s">
        <v>142</v>
      </c>
      <c r="AE49" s="6" t="s">
        <v>143</v>
      </c>
      <c r="AF49" s="6" t="s">
        <v>142</v>
      </c>
      <c r="AG49" s="6" t="s">
        <v>141</v>
      </c>
      <c r="AH49" s="6" t="s">
        <v>141</v>
      </c>
      <c r="AI49" s="6" t="s">
        <v>142</v>
      </c>
      <c r="AJ49" s="6" t="s">
        <v>143</v>
      </c>
      <c r="AK49" s="6" t="s">
        <v>144</v>
      </c>
      <c r="AL49" s="6" t="s">
        <v>144</v>
      </c>
      <c r="AM49" s="6" t="s">
        <v>143</v>
      </c>
      <c r="AN49" s="6" t="s">
        <v>144</v>
      </c>
      <c r="AO49" s="6" t="s">
        <v>143</v>
      </c>
      <c r="AP49" s="6" t="s">
        <v>142</v>
      </c>
      <c r="AQ49" s="6" t="s">
        <v>142</v>
      </c>
      <c r="AR49" s="6" t="s">
        <v>141</v>
      </c>
      <c r="AS49" s="6" t="s">
        <v>142</v>
      </c>
      <c r="AT49" s="6" t="s">
        <v>142</v>
      </c>
      <c r="AU49" s="6" t="s">
        <v>142</v>
      </c>
      <c r="AV49" s="6" t="s">
        <v>141</v>
      </c>
      <c r="AW49" s="6" t="s">
        <v>141</v>
      </c>
      <c r="AX49" s="6" t="s">
        <v>142</v>
      </c>
      <c r="AY49" s="6" t="s">
        <v>141</v>
      </c>
    </row>
    <row r="50" spans="1:51" x14ac:dyDescent="0.2">
      <c r="A50" t="s">
        <v>149</v>
      </c>
      <c r="B50" s="14" t="s">
        <v>142</v>
      </c>
      <c r="C50" s="7">
        <v>982244</v>
      </c>
      <c r="D50" s="7">
        <v>982244</v>
      </c>
      <c r="E50" t="str">
        <f>_xlfn.XLOOKUP(D50,'Student Roster'!A:A,'Student Roster'!B:B, "Not Found")</f>
        <v>Hernandez Salcedo, Belen</v>
      </c>
      <c r="F50">
        <f>_xlfn.XLOOKUP(D50,'Student Roster'!A:A,'Student Roster'!C:C, "Not Found")</f>
        <v>43958</v>
      </c>
      <c r="G50" t="s">
        <v>189</v>
      </c>
      <c r="H50">
        <v>43958</v>
      </c>
      <c r="J50" s="15" cm="1">
        <f t="array" ref="J50">SUMPRODUCT(--(Q50:AO50=IF(B50="A",$Q$5:$AO$5,$Q$6:$AO$6)))</f>
        <v>13</v>
      </c>
      <c r="K50" cm="1">
        <f t="array" ref="K50">SUMPRODUCT(--(AP50:AY50=IF(B50="A",$AP$5:$AY$5,$AP$6:$AY$6)))</f>
        <v>8</v>
      </c>
      <c r="L50" cm="1">
        <f t="array" ref="L50">SUMPRODUCT(--($Q50:$AO50 = IF($B50="A", $Q$5:$AO$5, $Q$6:$AO$6)),--IF($B50="A", (COLUMN($Q50:$AO50)&lt;&gt;COLUMN($W$8)), (COLUMN($Q50:$AO50)&lt;&gt;COLUMN($Z$8))))</f>
        <v>12</v>
      </c>
      <c r="M50">
        <f t="shared" si="1"/>
        <v>8</v>
      </c>
      <c r="N50">
        <f t="shared" si="2"/>
        <v>44</v>
      </c>
      <c r="O50" s="20">
        <f t="shared" si="3"/>
        <v>53.658536585365852</v>
      </c>
      <c r="P50" s="21">
        <f t="shared" si="4"/>
        <v>-0.28550382632880206</v>
      </c>
      <c r="Q50" s="6" t="s">
        <v>141</v>
      </c>
      <c r="R50" s="6" t="s">
        <v>142</v>
      </c>
      <c r="S50" s="6" t="s">
        <v>142</v>
      </c>
      <c r="T50" s="6" t="s">
        <v>145</v>
      </c>
      <c r="U50" s="6" t="s">
        <v>143</v>
      </c>
      <c r="V50" s="6" t="s">
        <v>144</v>
      </c>
      <c r="W50" s="6" t="s">
        <v>143</v>
      </c>
      <c r="X50" s="6" t="s">
        <v>142</v>
      </c>
      <c r="Y50" s="6" t="s">
        <v>141</v>
      </c>
      <c r="Z50" s="6" t="s">
        <v>144</v>
      </c>
      <c r="AA50" s="6" t="s">
        <v>145</v>
      </c>
      <c r="AB50" s="6" t="s">
        <v>142</v>
      </c>
      <c r="AC50" s="6" t="s">
        <v>144</v>
      </c>
      <c r="AD50" s="6" t="s">
        <v>143</v>
      </c>
      <c r="AE50" s="6" t="s">
        <v>142</v>
      </c>
      <c r="AF50" s="6" t="s">
        <v>143</v>
      </c>
      <c r="AG50" s="6" t="s">
        <v>141</v>
      </c>
      <c r="AH50" s="6" t="s">
        <v>141</v>
      </c>
      <c r="AI50" s="6" t="s">
        <v>143</v>
      </c>
      <c r="AJ50" s="6" t="s">
        <v>144</v>
      </c>
      <c r="AK50" s="6" t="s">
        <v>143</v>
      </c>
      <c r="AL50" s="6" t="s">
        <v>141</v>
      </c>
      <c r="AM50" s="6" t="s">
        <v>143</v>
      </c>
      <c r="AN50" s="6" t="s">
        <v>145</v>
      </c>
      <c r="AO50" s="6" t="s">
        <v>144</v>
      </c>
      <c r="AP50" s="6" t="s">
        <v>142</v>
      </c>
      <c r="AQ50" s="6" t="s">
        <v>142</v>
      </c>
      <c r="AR50" s="6" t="s">
        <v>142</v>
      </c>
      <c r="AS50" s="6" t="s">
        <v>142</v>
      </c>
      <c r="AT50" s="6" t="s">
        <v>141</v>
      </c>
      <c r="AU50" s="6" t="s">
        <v>142</v>
      </c>
      <c r="AV50" s="6" t="s">
        <v>141</v>
      </c>
      <c r="AW50" s="6" t="s">
        <v>142</v>
      </c>
      <c r="AX50" s="6" t="s">
        <v>142</v>
      </c>
      <c r="AY50" s="6" t="s">
        <v>141</v>
      </c>
    </row>
    <row r="51" spans="1:51" x14ac:dyDescent="0.2">
      <c r="A51" t="s">
        <v>149</v>
      </c>
      <c r="B51" s="14" t="s">
        <v>141</v>
      </c>
      <c r="C51" s="7"/>
      <c r="D51" s="7">
        <v>1028207</v>
      </c>
      <c r="E51" t="str">
        <f>_xlfn.XLOOKUP(D51,'Student Roster'!A:A,'Student Roster'!B:B, "Not Found")</f>
        <v>Lopez, Jovina</v>
      </c>
      <c r="F51">
        <f>_xlfn.XLOOKUP(D51,'Student Roster'!A:A,'Student Roster'!C:C, "Not Found")</f>
        <v>43957</v>
      </c>
      <c r="G51" t="s">
        <v>201</v>
      </c>
      <c r="H51">
        <v>43957</v>
      </c>
      <c r="J51" s="15" cm="1">
        <f t="array" ref="J51">SUMPRODUCT(--(Q51:AO51=IF(B51="A",$Q$5:$AO$5,$Q$6:$AO$6)))</f>
        <v>8</v>
      </c>
      <c r="K51" cm="1">
        <f t="array" ref="K51">SUMPRODUCT(--(AP51:AY51=IF(B51="A",$AP$5:$AY$5,$AP$6:$AY$6)))</f>
        <v>7</v>
      </c>
      <c r="L51" cm="1">
        <f t="array" ref="L51">SUMPRODUCT(--($Q51:$AO51 = IF($B51="A", $Q$5:$AO$5, $Q$6:$AO$6)),--IF($B51="A", (COLUMN($Q51:$AO51)&lt;&gt;COLUMN($W$8)), (COLUMN($Q51:$AO51)&lt;&gt;COLUMN($Z$8))))</f>
        <v>8</v>
      </c>
      <c r="M51">
        <f t="shared" si="1"/>
        <v>7</v>
      </c>
      <c r="N51">
        <f t="shared" si="2"/>
        <v>31</v>
      </c>
      <c r="O51" s="20">
        <f t="shared" si="3"/>
        <v>37.804878048780488</v>
      </c>
      <c r="P51" s="21">
        <f t="shared" si="4"/>
        <v>-1.1749074512056257</v>
      </c>
      <c r="Q51" s="6" t="s">
        <v>142</v>
      </c>
      <c r="R51" s="6" t="s">
        <v>142</v>
      </c>
      <c r="S51" s="6" t="s">
        <v>145</v>
      </c>
      <c r="T51" s="6" t="s">
        <v>143</v>
      </c>
      <c r="U51" s="6" t="s">
        <v>141</v>
      </c>
      <c r="V51" s="6" t="s">
        <v>142</v>
      </c>
      <c r="W51" s="6" t="s">
        <v>144</v>
      </c>
      <c r="X51" s="6" t="s">
        <v>143</v>
      </c>
      <c r="Y51" s="6" t="s">
        <v>141</v>
      </c>
      <c r="Z51" s="6" t="s">
        <v>142</v>
      </c>
      <c r="AA51" s="6" t="s">
        <v>144</v>
      </c>
      <c r="AB51" s="6" t="s">
        <v>143</v>
      </c>
      <c r="AC51" s="6" t="s">
        <v>141</v>
      </c>
      <c r="AD51" s="6" t="s">
        <v>143</v>
      </c>
      <c r="AE51" s="6" t="s">
        <v>143</v>
      </c>
      <c r="AF51" s="6" t="s">
        <v>144</v>
      </c>
      <c r="AG51" s="6" t="s">
        <v>141</v>
      </c>
      <c r="AH51" s="6" t="s">
        <v>143</v>
      </c>
      <c r="AI51" s="6" t="s">
        <v>144</v>
      </c>
      <c r="AJ51" s="6" t="s">
        <v>141</v>
      </c>
      <c r="AK51" s="6" t="s">
        <v>143</v>
      </c>
      <c r="AL51" s="6" t="s">
        <v>145</v>
      </c>
      <c r="AM51" s="6" t="s">
        <v>141</v>
      </c>
      <c r="AN51" s="6" t="s">
        <v>144</v>
      </c>
      <c r="AO51" s="6" t="s">
        <v>141</v>
      </c>
      <c r="AP51" s="6" t="s">
        <v>142</v>
      </c>
      <c r="AQ51" s="6" t="s">
        <v>141</v>
      </c>
      <c r="AR51" s="6" t="s">
        <v>142</v>
      </c>
      <c r="AS51" s="6" t="s">
        <v>142</v>
      </c>
      <c r="AT51" s="6" t="s">
        <v>142</v>
      </c>
      <c r="AU51" s="6" t="s">
        <v>142</v>
      </c>
      <c r="AV51" s="6" t="s">
        <v>141</v>
      </c>
      <c r="AW51" s="6" t="s">
        <v>142</v>
      </c>
      <c r="AX51" s="6" t="s">
        <v>141</v>
      </c>
      <c r="AY51" s="6" t="s">
        <v>142</v>
      </c>
    </row>
    <row r="52" spans="1:51" x14ac:dyDescent="0.2">
      <c r="A52" t="s">
        <v>142</v>
      </c>
      <c r="B52" s="14" t="s">
        <v>142</v>
      </c>
      <c r="C52" s="7">
        <v>958268</v>
      </c>
      <c r="D52" s="7">
        <v>958268</v>
      </c>
      <c r="E52" t="str">
        <f>_xlfn.XLOOKUP(D52,'Student Roster'!A:A,'Student Roster'!B:B, "Not Found")</f>
        <v>Jimenez Merino, Oscar</v>
      </c>
      <c r="F52">
        <f>_xlfn.XLOOKUP(D52,'Student Roster'!A:A,'Student Roster'!C:C, "Not Found")</f>
        <v>43958</v>
      </c>
      <c r="G52" t="s">
        <v>193</v>
      </c>
      <c r="H52">
        <v>43958</v>
      </c>
      <c r="J52" s="15" cm="1">
        <f t="array" ref="J52">SUMPRODUCT(--(Q52:AO52=IF(B52="A",$Q$5:$AO$5,$Q$6:$AO$6)))</f>
        <v>20</v>
      </c>
      <c r="K52" cm="1">
        <f t="array" ref="K52">SUMPRODUCT(--(AP52:AY52=IF(B52="A",$AP$5:$AY$5,$AP$6:$AY$6)))</f>
        <v>8</v>
      </c>
      <c r="L52" cm="1">
        <f t="array" ref="L52">SUMPRODUCT(--($Q52:$AO52 = IF($B52="A", $Q$5:$AO$5, $Q$6:$AO$6)),--IF($B52="A", (COLUMN($Q52:$AO52)&lt;&gt;COLUMN($W$8)), (COLUMN($Q52:$AO52)&lt;&gt;COLUMN($Z$8))))</f>
        <v>19</v>
      </c>
      <c r="M52">
        <f t="shared" si="1"/>
        <v>8</v>
      </c>
      <c r="N52">
        <f t="shared" si="2"/>
        <v>65</v>
      </c>
      <c r="O52" s="20">
        <f t="shared" si="3"/>
        <v>79.268292682926827</v>
      </c>
      <c r="P52" s="21">
        <f t="shared" si="4"/>
        <v>1.1512251061645284</v>
      </c>
      <c r="Q52" s="6" t="s">
        <v>141</v>
      </c>
      <c r="R52" s="6" t="s">
        <v>142</v>
      </c>
      <c r="S52" s="6" t="s">
        <v>141</v>
      </c>
      <c r="T52" s="6" t="s">
        <v>143</v>
      </c>
      <c r="U52" s="6" t="s">
        <v>143</v>
      </c>
      <c r="V52" s="6" t="s">
        <v>144</v>
      </c>
      <c r="W52" s="6" t="s">
        <v>143</v>
      </c>
      <c r="X52" s="6" t="s">
        <v>141</v>
      </c>
      <c r="Y52" s="6" t="s">
        <v>141</v>
      </c>
      <c r="Z52" s="6" t="s">
        <v>144</v>
      </c>
      <c r="AA52" s="6" t="s">
        <v>143</v>
      </c>
      <c r="AB52" s="6" t="s">
        <v>143</v>
      </c>
      <c r="AC52" s="6" t="s">
        <v>143</v>
      </c>
      <c r="AD52" s="6" t="s">
        <v>143</v>
      </c>
      <c r="AE52" s="6" t="s">
        <v>141</v>
      </c>
      <c r="AF52" s="6" t="s">
        <v>143</v>
      </c>
      <c r="AG52" s="6" t="s">
        <v>144</v>
      </c>
      <c r="AH52" s="6" t="s">
        <v>141</v>
      </c>
      <c r="AI52" s="6" t="s">
        <v>141</v>
      </c>
      <c r="AJ52" s="6" t="s">
        <v>144</v>
      </c>
      <c r="AK52" s="6" t="s">
        <v>143</v>
      </c>
      <c r="AL52" s="6" t="s">
        <v>144</v>
      </c>
      <c r="AM52" s="6" t="s">
        <v>143</v>
      </c>
      <c r="AN52" s="6" t="s">
        <v>144</v>
      </c>
      <c r="AO52" s="6" t="s">
        <v>141</v>
      </c>
      <c r="AP52" s="6" t="s">
        <v>141</v>
      </c>
      <c r="AQ52" s="6" t="s">
        <v>142</v>
      </c>
      <c r="AR52" s="6" t="s">
        <v>142</v>
      </c>
      <c r="AS52" s="6" t="s">
        <v>141</v>
      </c>
      <c r="AT52" s="6" t="s">
        <v>141</v>
      </c>
      <c r="AU52" s="6" t="s">
        <v>142</v>
      </c>
      <c r="AV52" s="6" t="s">
        <v>141</v>
      </c>
      <c r="AW52" s="6" t="s">
        <v>142</v>
      </c>
      <c r="AX52" s="6" t="s">
        <v>142</v>
      </c>
      <c r="AY52" s="6" t="s">
        <v>141</v>
      </c>
    </row>
    <row r="53" spans="1:51" x14ac:dyDescent="0.2">
      <c r="A53" t="s">
        <v>141</v>
      </c>
      <c r="B53" s="14" t="s">
        <v>141</v>
      </c>
      <c r="C53" s="7">
        <v>934216</v>
      </c>
      <c r="D53" s="7">
        <v>934216</v>
      </c>
      <c r="E53" t="str">
        <f>_xlfn.XLOOKUP(D53,'Student Roster'!A:A,'Student Roster'!B:B, "Not Found")</f>
        <v>Wright, Rebecca</v>
      </c>
      <c r="F53">
        <f>_xlfn.XLOOKUP(D53,'Student Roster'!A:A,'Student Roster'!C:C, "Not Found")</f>
        <v>43957</v>
      </c>
      <c r="G53" t="s">
        <v>259</v>
      </c>
      <c r="H53">
        <v>43957</v>
      </c>
      <c r="J53" s="15" cm="1">
        <f t="array" ref="J53">SUMPRODUCT(--(Q53:AO53=IF(B53="A",$Q$5:$AO$5,$Q$6:$AO$6)))</f>
        <v>11</v>
      </c>
      <c r="K53" cm="1">
        <f t="array" ref="K53">SUMPRODUCT(--(AP53:AY53=IF(B53="A",$AP$5:$AY$5,$AP$6:$AY$6)))</f>
        <v>6</v>
      </c>
      <c r="L53" cm="1">
        <f t="array" ref="L53">SUMPRODUCT(--($Q53:$AO53 = IF($B53="A", $Q$5:$AO$5, $Q$6:$AO$6)),--IF($B53="A", (COLUMN($Q53:$AO53)&lt;&gt;COLUMN($W$8)), (COLUMN($Q53:$AO53)&lt;&gt;COLUMN($Z$8))))</f>
        <v>10</v>
      </c>
      <c r="M53">
        <f t="shared" si="1"/>
        <v>6</v>
      </c>
      <c r="N53">
        <f t="shared" si="2"/>
        <v>36</v>
      </c>
      <c r="O53" s="20">
        <f t="shared" si="3"/>
        <v>43.902439024390247</v>
      </c>
      <c r="P53" s="21">
        <f t="shared" si="4"/>
        <v>-0.83282913394530855</v>
      </c>
      <c r="Q53" s="6" t="s">
        <v>143</v>
      </c>
      <c r="R53" s="6" t="s">
        <v>142</v>
      </c>
      <c r="S53" s="6" t="s">
        <v>143</v>
      </c>
      <c r="T53" s="6" t="s">
        <v>144</v>
      </c>
      <c r="U53" s="6" t="s">
        <v>144</v>
      </c>
      <c r="V53" s="6" t="s">
        <v>143</v>
      </c>
      <c r="W53" s="6" t="s">
        <v>141</v>
      </c>
      <c r="X53" s="6" t="s">
        <v>144</v>
      </c>
      <c r="Y53" s="6" t="s">
        <v>142</v>
      </c>
      <c r="Z53" s="6" t="s">
        <v>143</v>
      </c>
      <c r="AA53" s="6" t="s">
        <v>141</v>
      </c>
      <c r="AB53" s="6" t="s">
        <v>143</v>
      </c>
      <c r="AC53" s="6" t="s">
        <v>142</v>
      </c>
      <c r="AD53" s="6" t="s">
        <v>141</v>
      </c>
      <c r="AE53" s="6" t="s">
        <v>141</v>
      </c>
      <c r="AF53" s="6" t="s">
        <v>143</v>
      </c>
      <c r="AG53" s="6" t="s">
        <v>141</v>
      </c>
      <c r="AH53" s="6" t="s">
        <v>144</v>
      </c>
      <c r="AI53" s="6" t="s">
        <v>143</v>
      </c>
      <c r="AJ53" s="6" t="s">
        <v>143</v>
      </c>
      <c r="AK53" s="6" t="s">
        <v>144</v>
      </c>
      <c r="AL53" s="6" t="s">
        <v>141</v>
      </c>
      <c r="AM53" s="6" t="s">
        <v>141</v>
      </c>
      <c r="AN53" s="6" t="s">
        <v>144</v>
      </c>
      <c r="AO53" s="6" t="s">
        <v>143</v>
      </c>
      <c r="AP53" s="6" t="s">
        <v>142</v>
      </c>
      <c r="AQ53" s="6" t="s">
        <v>141</v>
      </c>
      <c r="AR53" s="6" t="s">
        <v>142</v>
      </c>
      <c r="AS53" s="6" t="s">
        <v>142</v>
      </c>
      <c r="AT53" s="6" t="s">
        <v>141</v>
      </c>
      <c r="AU53" s="6" t="s">
        <v>142</v>
      </c>
      <c r="AV53" s="6" t="s">
        <v>142</v>
      </c>
      <c r="AW53" s="6" t="s">
        <v>141</v>
      </c>
      <c r="AX53" s="6" t="s">
        <v>142</v>
      </c>
      <c r="AY53" s="6" t="s">
        <v>141</v>
      </c>
    </row>
    <row r="54" spans="1:51" x14ac:dyDescent="0.2">
      <c r="A54" t="s">
        <v>149</v>
      </c>
      <c r="B54" s="14" t="s">
        <v>141</v>
      </c>
      <c r="C54" s="7">
        <v>1024952</v>
      </c>
      <c r="D54" s="7">
        <v>1024952</v>
      </c>
      <c r="E54" t="str">
        <f>_xlfn.XLOOKUP(D54,'Student Roster'!A:A,'Student Roster'!B:B, "Not Found")</f>
        <v>Cuevas Romero, Ana</v>
      </c>
      <c r="F54">
        <f>_xlfn.XLOOKUP(D54,'Student Roster'!A:A,'Student Roster'!C:C, "Not Found")</f>
        <v>43957</v>
      </c>
      <c r="G54" t="s">
        <v>167</v>
      </c>
      <c r="H54">
        <v>43957</v>
      </c>
      <c r="J54" s="15" cm="1">
        <f t="array" ref="J54">SUMPRODUCT(--(Q54:AO54=IF(B54="A",$Q$5:$AO$5,$Q$6:$AO$6)))</f>
        <v>24</v>
      </c>
      <c r="K54" cm="1">
        <f t="array" ref="K54">SUMPRODUCT(--(AP54:AY54=IF(B54="A",$AP$5:$AY$5,$AP$6:$AY$6)))</f>
        <v>9</v>
      </c>
      <c r="L54" cm="1">
        <f t="array" ref="L54">SUMPRODUCT(--($Q54:$AO54 = IF($B54="A", $Q$5:$AO$5, $Q$6:$AO$6)),--IF($B54="A", (COLUMN($Q54:$AO54)&lt;&gt;COLUMN($W$8)), (COLUMN($Q54:$AO54)&lt;&gt;COLUMN($Z$8))))</f>
        <v>23</v>
      </c>
      <c r="M54">
        <f t="shared" si="1"/>
        <v>9</v>
      </c>
      <c r="N54">
        <f t="shared" si="2"/>
        <v>78</v>
      </c>
      <c r="O54" s="20">
        <f t="shared" si="3"/>
        <v>95.121951219512198</v>
      </c>
      <c r="P54" s="21">
        <f t="shared" si="4"/>
        <v>2.0406287310413527</v>
      </c>
      <c r="Q54" s="6" t="s">
        <v>142</v>
      </c>
      <c r="R54" s="6" t="s">
        <v>143</v>
      </c>
      <c r="S54" s="6" t="s">
        <v>143</v>
      </c>
      <c r="T54" s="6" t="s">
        <v>144</v>
      </c>
      <c r="U54" s="6" t="s">
        <v>143</v>
      </c>
      <c r="V54" s="6" t="s">
        <v>143</v>
      </c>
      <c r="W54" s="6" t="s">
        <v>143</v>
      </c>
      <c r="X54" s="6" t="s">
        <v>144</v>
      </c>
      <c r="Y54" s="6" t="s">
        <v>143</v>
      </c>
      <c r="Z54" s="6" t="s">
        <v>143</v>
      </c>
      <c r="AA54" s="6" t="s">
        <v>143</v>
      </c>
      <c r="AB54" s="6" t="s">
        <v>143</v>
      </c>
      <c r="AC54" s="6" t="s">
        <v>144</v>
      </c>
      <c r="AD54" s="6" t="s">
        <v>143</v>
      </c>
      <c r="AE54" s="6" t="s">
        <v>143</v>
      </c>
      <c r="AF54" s="6" t="s">
        <v>142</v>
      </c>
      <c r="AG54" s="6" t="s">
        <v>141</v>
      </c>
      <c r="AH54" s="6" t="s">
        <v>141</v>
      </c>
      <c r="AI54" s="6" t="s">
        <v>141</v>
      </c>
      <c r="AJ54" s="6" t="s">
        <v>143</v>
      </c>
      <c r="AK54" s="6" t="s">
        <v>144</v>
      </c>
      <c r="AL54" s="6" t="s">
        <v>144</v>
      </c>
      <c r="AM54" s="6" t="s">
        <v>143</v>
      </c>
      <c r="AN54" s="6" t="s">
        <v>144</v>
      </c>
      <c r="AO54" s="6" t="s">
        <v>141</v>
      </c>
      <c r="AP54" s="6" t="s">
        <v>142</v>
      </c>
      <c r="AQ54" s="6" t="s">
        <v>141</v>
      </c>
      <c r="AR54" s="6" t="s">
        <v>141</v>
      </c>
      <c r="AS54" s="6" t="s">
        <v>142</v>
      </c>
      <c r="AT54" s="6" t="s">
        <v>142</v>
      </c>
      <c r="AU54" s="6" t="s">
        <v>142</v>
      </c>
      <c r="AV54" s="6" t="s">
        <v>141</v>
      </c>
      <c r="AW54" s="6" t="s">
        <v>141</v>
      </c>
      <c r="AX54" s="6" t="s">
        <v>142</v>
      </c>
      <c r="AY54" s="6" t="s">
        <v>141</v>
      </c>
    </row>
    <row r="55" spans="1:51" x14ac:dyDescent="0.2">
      <c r="A55" t="s">
        <v>141</v>
      </c>
      <c r="B55" s="14" t="s">
        <v>141</v>
      </c>
      <c r="C55" s="7"/>
      <c r="D55" s="7">
        <v>694264</v>
      </c>
      <c r="E55" t="str">
        <f>_xlfn.XLOOKUP(D55,'Student Roster'!A:A,'Student Roster'!B:B, "Not Found")</f>
        <v>Andrade, Antonio</v>
      </c>
      <c r="F55">
        <f>_xlfn.XLOOKUP(D55,'Student Roster'!A:A,'Student Roster'!C:C, "Not Found")</f>
        <v>43957</v>
      </c>
      <c r="G55" t="s">
        <v>153</v>
      </c>
      <c r="H55">
        <v>43957</v>
      </c>
      <c r="J55" s="15" cm="1">
        <f t="array" ref="J55">SUMPRODUCT(--(Q55:AO55=IF(B55="A",$Q$5:$AO$5,$Q$6:$AO$6)))</f>
        <v>17</v>
      </c>
      <c r="K55" cm="1">
        <f t="array" ref="K55">SUMPRODUCT(--(AP55:AY55=IF(B55="A",$AP$5:$AY$5,$AP$6:$AY$6)))</f>
        <v>8</v>
      </c>
      <c r="L55" cm="1">
        <f t="array" ref="L55">SUMPRODUCT(--($Q55:$AO55 = IF($B55="A", $Q$5:$AO$5, $Q$6:$AO$6)),--IF($B55="A", (COLUMN($Q55:$AO55)&lt;&gt;COLUMN($W$8)), (COLUMN($Q55:$AO55)&lt;&gt;COLUMN($Z$8))))</f>
        <v>16</v>
      </c>
      <c r="M55">
        <f t="shared" si="1"/>
        <v>8</v>
      </c>
      <c r="N55">
        <f t="shared" si="2"/>
        <v>56</v>
      </c>
      <c r="O55" s="20">
        <f t="shared" si="3"/>
        <v>68.292682926829272</v>
      </c>
      <c r="P55" s="21">
        <f t="shared" si="4"/>
        <v>0.5354841350959586</v>
      </c>
      <c r="Q55" s="6" t="s">
        <v>143</v>
      </c>
      <c r="R55" s="6" t="s">
        <v>143</v>
      </c>
      <c r="S55" s="6" t="s">
        <v>143</v>
      </c>
      <c r="T55" s="6" t="s">
        <v>144</v>
      </c>
      <c r="U55" s="6" t="s">
        <v>143</v>
      </c>
      <c r="V55" s="6" t="s">
        <v>141</v>
      </c>
      <c r="W55" s="6" t="s">
        <v>143</v>
      </c>
      <c r="X55" s="6" t="s">
        <v>142</v>
      </c>
      <c r="Y55" s="6" t="s">
        <v>144</v>
      </c>
      <c r="Z55" s="6" t="s">
        <v>143</v>
      </c>
      <c r="AA55" s="6" t="s">
        <v>143</v>
      </c>
      <c r="AB55" s="6" t="s">
        <v>143</v>
      </c>
      <c r="AC55" s="6" t="s">
        <v>141</v>
      </c>
      <c r="AD55" s="6" t="s">
        <v>144</v>
      </c>
      <c r="AE55" s="6" t="s">
        <v>143</v>
      </c>
      <c r="AF55" s="6" t="s">
        <v>145</v>
      </c>
      <c r="AG55" s="6" t="s">
        <v>141</v>
      </c>
      <c r="AH55" s="6" t="s">
        <v>141</v>
      </c>
      <c r="AI55" s="6" t="s">
        <v>141</v>
      </c>
      <c r="AJ55" s="6" t="s">
        <v>143</v>
      </c>
      <c r="AK55" s="6" t="s">
        <v>144</v>
      </c>
      <c r="AL55" s="6" t="s">
        <v>144</v>
      </c>
      <c r="AM55" s="6" t="s">
        <v>143</v>
      </c>
      <c r="AN55" s="6" t="s">
        <v>144</v>
      </c>
      <c r="AO55" s="6" t="s">
        <v>141</v>
      </c>
      <c r="AP55" s="6" t="s">
        <v>142</v>
      </c>
      <c r="AQ55" s="6" t="s">
        <v>141</v>
      </c>
      <c r="AR55" s="6" t="s">
        <v>141</v>
      </c>
      <c r="AS55" s="6" t="s">
        <v>142</v>
      </c>
      <c r="AT55" s="6" t="s">
        <v>142</v>
      </c>
      <c r="AU55" s="6" t="s">
        <v>142</v>
      </c>
      <c r="AV55" s="6" t="s">
        <v>141</v>
      </c>
      <c r="AW55" s="6" t="s">
        <v>141</v>
      </c>
      <c r="AX55" s="6" t="s">
        <v>142</v>
      </c>
      <c r="AY55" s="6" t="s">
        <v>142</v>
      </c>
    </row>
    <row r="56" spans="1:51" x14ac:dyDescent="0.2">
      <c r="A56" t="s">
        <v>149</v>
      </c>
      <c r="B56" s="14" t="s">
        <v>141</v>
      </c>
      <c r="C56" s="7">
        <v>1036964</v>
      </c>
      <c r="D56" s="7">
        <v>1036964</v>
      </c>
      <c r="E56" t="str">
        <f>_xlfn.XLOOKUP(D56,'Student Roster'!A:A,'Student Roster'!B:B, "Not Found")</f>
        <v>Ketcheside, Sadee</v>
      </c>
      <c r="F56">
        <f>_xlfn.XLOOKUP(D56,'Student Roster'!A:A,'Student Roster'!C:C, "Not Found")</f>
        <v>43958</v>
      </c>
      <c r="G56" t="s">
        <v>195</v>
      </c>
      <c r="H56">
        <v>43958</v>
      </c>
      <c r="J56" s="15" cm="1">
        <f t="array" ref="J56">SUMPRODUCT(--(Q56:AO56=IF(B56="A",$Q$5:$AO$5,$Q$6:$AO$6)))</f>
        <v>9</v>
      </c>
      <c r="K56" cm="1">
        <f t="array" ref="K56">SUMPRODUCT(--(AP56:AY56=IF(B56="A",$AP$5:$AY$5,$AP$6:$AY$6)))</f>
        <v>4</v>
      </c>
      <c r="L56" cm="1">
        <f t="array" ref="L56">SUMPRODUCT(--($Q56:$AO56 = IF($B56="A", $Q$5:$AO$5, $Q$6:$AO$6)),--IF($B56="A", (COLUMN($Q56:$AO56)&lt;&gt;COLUMN($W$8)), (COLUMN($Q56:$AO56)&lt;&gt;COLUMN($Z$8))))</f>
        <v>9</v>
      </c>
      <c r="M56">
        <f t="shared" si="1"/>
        <v>4</v>
      </c>
      <c r="N56">
        <f t="shared" si="2"/>
        <v>31</v>
      </c>
      <c r="O56" s="20">
        <f t="shared" si="3"/>
        <v>37.804878048780488</v>
      </c>
      <c r="P56" s="21">
        <f t="shared" si="4"/>
        <v>-1.1749074512056257</v>
      </c>
      <c r="Q56" s="6" t="s">
        <v>143</v>
      </c>
      <c r="R56" s="6" t="s">
        <v>142</v>
      </c>
      <c r="S56" s="6" t="s">
        <v>143</v>
      </c>
      <c r="T56" s="6" t="s">
        <v>143</v>
      </c>
      <c r="U56" s="6" t="s">
        <v>143</v>
      </c>
      <c r="V56" s="6" t="s">
        <v>144</v>
      </c>
      <c r="W56" s="6" t="s">
        <v>143</v>
      </c>
      <c r="X56" s="6" t="s">
        <v>143</v>
      </c>
      <c r="Y56" s="6" t="s">
        <v>141</v>
      </c>
      <c r="Z56" s="6" t="s">
        <v>144</v>
      </c>
      <c r="AA56" s="6" t="s">
        <v>143</v>
      </c>
      <c r="AB56" s="6" t="s">
        <v>141</v>
      </c>
      <c r="AC56" s="6" t="s">
        <v>143</v>
      </c>
      <c r="AD56" s="6" t="s">
        <v>143</v>
      </c>
      <c r="AE56" s="6" t="s">
        <v>142</v>
      </c>
      <c r="AF56" s="6" t="s">
        <v>143</v>
      </c>
      <c r="AG56" s="6" t="s">
        <v>145</v>
      </c>
      <c r="AH56" s="6" t="s">
        <v>141</v>
      </c>
      <c r="AI56" s="6" t="s">
        <v>141</v>
      </c>
      <c r="AJ56" s="6" t="s">
        <v>141</v>
      </c>
      <c r="AK56" s="6" t="s">
        <v>143</v>
      </c>
      <c r="AL56" s="6" t="s">
        <v>143</v>
      </c>
      <c r="AM56" s="6" t="s">
        <v>143</v>
      </c>
      <c r="AN56" s="6" t="s">
        <v>143</v>
      </c>
      <c r="AO56" s="6" t="s">
        <v>144</v>
      </c>
      <c r="AP56" s="6" t="s">
        <v>141</v>
      </c>
      <c r="AQ56" s="6" t="s">
        <v>142</v>
      </c>
      <c r="AR56" s="6" t="s">
        <v>142</v>
      </c>
      <c r="AS56" s="6" t="s">
        <v>142</v>
      </c>
      <c r="AT56" s="6" t="s">
        <v>141</v>
      </c>
      <c r="AU56" s="6" t="s">
        <v>142</v>
      </c>
      <c r="AV56" s="6" t="s">
        <v>141</v>
      </c>
      <c r="AW56" s="6" t="s">
        <v>141</v>
      </c>
      <c r="AX56" s="6" t="s">
        <v>142</v>
      </c>
      <c r="AY56" s="6" t="s">
        <v>142</v>
      </c>
    </row>
    <row r="57" spans="1:51" x14ac:dyDescent="0.2">
      <c r="A57" t="s">
        <v>141</v>
      </c>
      <c r="B57" s="14" t="s">
        <v>141</v>
      </c>
      <c r="C57" s="7">
        <v>964444</v>
      </c>
      <c r="D57" s="7">
        <v>964444</v>
      </c>
      <c r="E57" t="str">
        <f>_xlfn.XLOOKUP(D57,'Student Roster'!A:A,'Student Roster'!B:B, "Not Found")</f>
        <v>Ross, Derick</v>
      </c>
      <c r="F57">
        <f>_xlfn.XLOOKUP(D57,'Student Roster'!A:A,'Student Roster'!C:C, "Not Found")</f>
        <v>43957</v>
      </c>
      <c r="G57" t="s">
        <v>239</v>
      </c>
      <c r="H57">
        <v>43957</v>
      </c>
      <c r="J57" s="15" cm="1">
        <f t="array" ref="J57">SUMPRODUCT(--(Q57:AO57=IF(B57="A",$Q$5:$AO$5,$Q$6:$AO$6)))</f>
        <v>2</v>
      </c>
      <c r="K57" cm="1">
        <f t="array" ref="K57">SUMPRODUCT(--(AP57:AY57=IF(B57="A",$AP$5:$AY$5,$AP$6:$AY$6)))</f>
        <v>4</v>
      </c>
      <c r="L57" cm="1">
        <f t="array" ref="L57">SUMPRODUCT(--($Q57:$AO57 = IF($B57="A", $Q$5:$AO$5, $Q$6:$AO$6)),--IF($B57="A", (COLUMN($Q57:$AO57)&lt;&gt;COLUMN($W$8)), (COLUMN($Q57:$AO57)&lt;&gt;COLUMN($Z$8))))</f>
        <v>2</v>
      </c>
      <c r="M57">
        <f t="shared" si="1"/>
        <v>4</v>
      </c>
      <c r="N57">
        <f t="shared" si="2"/>
        <v>10</v>
      </c>
      <c r="O57" s="20">
        <f t="shared" si="3"/>
        <v>12.195121951219512</v>
      </c>
      <c r="P57" s="21">
        <f t="shared" si="4"/>
        <v>-2.611636383698956</v>
      </c>
      <c r="Q57" s="6" t="s">
        <v>145</v>
      </c>
      <c r="R57" s="6" t="s">
        <v>141</v>
      </c>
      <c r="S57" s="6" t="s">
        <v>143</v>
      </c>
      <c r="T57" s="6" t="s">
        <v>143</v>
      </c>
      <c r="U57" s="6" t="s">
        <v>142</v>
      </c>
      <c r="V57" s="6" t="s">
        <v>142</v>
      </c>
      <c r="W57" s="6" t="s">
        <v>141</v>
      </c>
      <c r="X57" s="6" t="s">
        <v>144</v>
      </c>
      <c r="Y57" s="6" t="s">
        <v>144</v>
      </c>
      <c r="Z57" s="6" t="s">
        <v>144</v>
      </c>
      <c r="AA57" s="6" t="s">
        <v>141</v>
      </c>
      <c r="AB57" s="6" t="s">
        <v>141</v>
      </c>
      <c r="AC57" s="6" t="s">
        <v>142</v>
      </c>
      <c r="AD57" s="6" t="s">
        <v>141</v>
      </c>
      <c r="AE57" s="6" t="s">
        <v>141</v>
      </c>
      <c r="AF57" s="6" t="s">
        <v>145</v>
      </c>
      <c r="AG57" s="6" t="s">
        <v>144</v>
      </c>
      <c r="AH57" s="6" t="s">
        <v>143</v>
      </c>
      <c r="AI57" s="6" t="s">
        <v>143</v>
      </c>
      <c r="AJ57" s="6" t="s">
        <v>144</v>
      </c>
      <c r="AK57" s="6" t="s">
        <v>143</v>
      </c>
      <c r="AL57" s="6" t="s">
        <v>143</v>
      </c>
      <c r="AM57" s="6" t="s">
        <v>142</v>
      </c>
      <c r="AN57" s="6" t="s">
        <v>141</v>
      </c>
      <c r="AO57" s="6" t="s">
        <v>142</v>
      </c>
      <c r="AP57" s="6" t="s">
        <v>141</v>
      </c>
      <c r="AQ57" s="6" t="s">
        <v>142</v>
      </c>
      <c r="AR57" s="6" t="s">
        <v>142</v>
      </c>
      <c r="AS57" s="6" t="s">
        <v>142</v>
      </c>
      <c r="AT57" s="6" t="s">
        <v>142</v>
      </c>
      <c r="AU57" s="6" t="s">
        <v>141</v>
      </c>
      <c r="AV57" s="6" t="s">
        <v>141</v>
      </c>
      <c r="AW57" s="6" t="s">
        <v>142</v>
      </c>
      <c r="AX57" s="6" t="s">
        <v>141</v>
      </c>
      <c r="AY57" s="6" t="s">
        <v>142</v>
      </c>
    </row>
    <row r="58" spans="1:51" x14ac:dyDescent="0.2">
      <c r="A58" t="s">
        <v>149</v>
      </c>
      <c r="B58" s="14" t="s">
        <v>141</v>
      </c>
      <c r="C58" s="7">
        <v>1070102</v>
      </c>
      <c r="D58" s="7">
        <v>1070102</v>
      </c>
      <c r="E58" t="str">
        <f>_xlfn.XLOOKUP(D58,'Student Roster'!A:A,'Student Roster'!B:B, "Not Found")</f>
        <v>Becerril, Destiny</v>
      </c>
      <c r="F58">
        <f>_xlfn.XLOOKUP(D58,'Student Roster'!A:A,'Student Roster'!C:C, "Not Found")</f>
        <v>43958</v>
      </c>
      <c r="G58" t="s">
        <v>159</v>
      </c>
      <c r="H58">
        <v>43958</v>
      </c>
      <c r="J58" s="15" cm="1">
        <f t="array" ref="J58">SUMPRODUCT(--(Q58:AO58=IF(B58="A",$Q$5:$AO$5,$Q$6:$AO$6)))</f>
        <v>12</v>
      </c>
      <c r="K58" cm="1">
        <f t="array" ref="K58">SUMPRODUCT(--(AP58:AY58=IF(B58="A",$AP$5:$AY$5,$AP$6:$AY$6)))</f>
        <v>4</v>
      </c>
      <c r="L58" cm="1">
        <f t="array" ref="L58">SUMPRODUCT(--($Q58:$AO58 = IF($B58="A", $Q$5:$AO$5, $Q$6:$AO$6)),--IF($B58="A", (COLUMN($Q58:$AO58)&lt;&gt;COLUMN($W$8)), (COLUMN($Q58:$AO58)&lt;&gt;COLUMN($Z$8))))</f>
        <v>11</v>
      </c>
      <c r="M58">
        <f t="shared" si="1"/>
        <v>4</v>
      </c>
      <c r="N58">
        <f t="shared" si="2"/>
        <v>37</v>
      </c>
      <c r="O58" s="20">
        <f t="shared" si="3"/>
        <v>45.121951219512198</v>
      </c>
      <c r="P58" s="21">
        <f t="shared" si="4"/>
        <v>-0.76441347049324526</v>
      </c>
      <c r="Q58" s="6" t="s">
        <v>142</v>
      </c>
      <c r="R58" s="6" t="s">
        <v>141</v>
      </c>
      <c r="S58" s="6" t="s">
        <v>145</v>
      </c>
      <c r="T58" s="6" t="s">
        <v>144</v>
      </c>
      <c r="U58" s="6" t="s">
        <v>145</v>
      </c>
      <c r="V58" s="6" t="s">
        <v>142</v>
      </c>
      <c r="W58" s="6" t="s">
        <v>143</v>
      </c>
      <c r="X58" s="6" t="s">
        <v>144</v>
      </c>
      <c r="Y58" s="6" t="s">
        <v>142</v>
      </c>
      <c r="Z58" s="6" t="s">
        <v>143</v>
      </c>
      <c r="AA58" s="6" t="s">
        <v>144</v>
      </c>
      <c r="AB58" s="6" t="s">
        <v>141</v>
      </c>
      <c r="AC58" s="6" t="s">
        <v>141</v>
      </c>
      <c r="AD58" s="6" t="s">
        <v>143</v>
      </c>
      <c r="AE58" s="6" t="s">
        <v>143</v>
      </c>
      <c r="AF58" s="6" t="s">
        <v>144</v>
      </c>
      <c r="AG58" s="6" t="s">
        <v>141</v>
      </c>
      <c r="AH58" s="6" t="s">
        <v>141</v>
      </c>
      <c r="AI58" s="6" t="s">
        <v>142</v>
      </c>
      <c r="AJ58" s="6" t="s">
        <v>141</v>
      </c>
      <c r="AK58" s="6" t="s">
        <v>144</v>
      </c>
      <c r="AL58" s="6" t="s">
        <v>144</v>
      </c>
      <c r="AM58" s="6" t="s">
        <v>142</v>
      </c>
      <c r="AN58" s="6" t="s">
        <v>144</v>
      </c>
      <c r="AO58" s="6" t="s">
        <v>143</v>
      </c>
      <c r="AP58" s="6" t="s">
        <v>142</v>
      </c>
      <c r="AQ58" s="6" t="s">
        <v>141</v>
      </c>
      <c r="AR58" s="6" t="s">
        <v>142</v>
      </c>
      <c r="AS58" s="6" t="s">
        <v>141</v>
      </c>
      <c r="AT58" s="6" t="s">
        <v>141</v>
      </c>
      <c r="AU58" s="6" t="s">
        <v>141</v>
      </c>
      <c r="AV58" s="6" t="s">
        <v>142</v>
      </c>
      <c r="AW58" s="6" t="s">
        <v>141</v>
      </c>
      <c r="AX58" s="6" t="s">
        <v>142</v>
      </c>
      <c r="AY58" s="6" t="s">
        <v>141</v>
      </c>
    </row>
    <row r="59" spans="1:51" x14ac:dyDescent="0.2">
      <c r="A59" t="s">
        <v>149</v>
      </c>
      <c r="B59" s="14" t="s">
        <v>141</v>
      </c>
      <c r="C59" s="7">
        <v>1012960</v>
      </c>
      <c r="D59" s="7">
        <v>1012960</v>
      </c>
      <c r="E59" t="str">
        <f>_xlfn.XLOOKUP(D59,'Student Roster'!A:A,'Student Roster'!B:B, "Not Found")</f>
        <v>Nounvilaythong, Samaria</v>
      </c>
      <c r="F59">
        <f>_xlfn.XLOOKUP(D59,'Student Roster'!A:A,'Student Roster'!C:C, "Not Found")</f>
        <v>43957</v>
      </c>
      <c r="G59" t="s">
        <v>221</v>
      </c>
      <c r="H59">
        <v>43957</v>
      </c>
      <c r="J59" s="15" cm="1">
        <f t="array" ref="J59">SUMPRODUCT(--(Q59:AO59=IF(B59="A",$Q$5:$AO$5,$Q$6:$AO$6)))</f>
        <v>17</v>
      </c>
      <c r="K59" cm="1">
        <f t="array" ref="K59">SUMPRODUCT(--(AP59:AY59=IF(B59="A",$AP$5:$AY$5,$AP$6:$AY$6)))</f>
        <v>6</v>
      </c>
      <c r="L59" cm="1">
        <f t="array" ref="L59">SUMPRODUCT(--($Q59:$AO59 = IF($B59="A", $Q$5:$AO$5, $Q$6:$AO$6)),--IF($B59="A", (COLUMN($Q59:$AO59)&lt;&gt;COLUMN($W$8)), (COLUMN($Q59:$AO59)&lt;&gt;COLUMN($Z$8))))</f>
        <v>16</v>
      </c>
      <c r="M59">
        <f t="shared" si="1"/>
        <v>6</v>
      </c>
      <c r="N59">
        <f t="shared" si="2"/>
        <v>54</v>
      </c>
      <c r="O59" s="20">
        <f t="shared" si="3"/>
        <v>65.853658536585371</v>
      </c>
      <c r="P59" s="21">
        <f>(O59-$O$62)/$O$63</f>
        <v>0.39865280819183196</v>
      </c>
      <c r="Q59" s="6" t="s">
        <v>142</v>
      </c>
      <c r="R59" s="6" t="s">
        <v>142</v>
      </c>
      <c r="S59" s="6" t="s">
        <v>143</v>
      </c>
      <c r="T59" s="6" t="s">
        <v>143</v>
      </c>
      <c r="U59" s="6" t="s">
        <v>143</v>
      </c>
      <c r="V59" s="6" t="s">
        <v>144</v>
      </c>
      <c r="W59" s="6" t="s">
        <v>143</v>
      </c>
      <c r="X59" s="6" t="s">
        <v>144</v>
      </c>
      <c r="Y59" s="6" t="s">
        <v>143</v>
      </c>
      <c r="Z59" s="6" t="s">
        <v>143</v>
      </c>
      <c r="AA59" s="6" t="s">
        <v>143</v>
      </c>
      <c r="AB59" s="6" t="s">
        <v>144</v>
      </c>
      <c r="AC59" s="6" t="s">
        <v>142</v>
      </c>
      <c r="AD59" s="6" t="s">
        <v>141</v>
      </c>
      <c r="AE59" s="6" t="s">
        <v>143</v>
      </c>
      <c r="AF59" s="6" t="s">
        <v>142</v>
      </c>
      <c r="AG59" s="6" t="s">
        <v>141</v>
      </c>
      <c r="AH59" s="6" t="s">
        <v>141</v>
      </c>
      <c r="AI59" s="6" t="s">
        <v>141</v>
      </c>
      <c r="AJ59" s="6" t="s">
        <v>141</v>
      </c>
      <c r="AK59" s="6" t="s">
        <v>144</v>
      </c>
      <c r="AL59" s="6" t="s">
        <v>141</v>
      </c>
      <c r="AM59" s="6" t="s">
        <v>143</v>
      </c>
      <c r="AN59" s="6" t="s">
        <v>144</v>
      </c>
      <c r="AO59" s="6" t="s">
        <v>143</v>
      </c>
      <c r="AP59" s="6" t="s">
        <v>142</v>
      </c>
      <c r="AQ59" s="6" t="s">
        <v>141</v>
      </c>
      <c r="AR59" s="6" t="s">
        <v>142</v>
      </c>
      <c r="AS59" s="6" t="s">
        <v>142</v>
      </c>
      <c r="AT59" s="6" t="s">
        <v>142</v>
      </c>
      <c r="AU59" s="6" t="s">
        <v>149</v>
      </c>
      <c r="AV59" s="6" t="s">
        <v>141</v>
      </c>
      <c r="AW59" s="6" t="s">
        <v>141</v>
      </c>
      <c r="AX59" s="6" t="s">
        <v>142</v>
      </c>
      <c r="AY59" s="6" t="s">
        <v>142</v>
      </c>
    </row>
    <row r="62" spans="1:51" x14ac:dyDescent="0.2">
      <c r="K62">
        <f>(25-56.8)/17.4</f>
        <v>-1.8275862068965516</v>
      </c>
      <c r="N62" s="15" t="s">
        <v>278</v>
      </c>
      <c r="O62" s="20">
        <f>AVERAGE(O8:O59)</f>
        <v>58.747654784240133</v>
      </c>
      <c r="Q62" s="6" t="str" cm="1">
        <f t="array" ref="Q62:AO62">IF(B7="A", Q5:AO5, Q6:AO6)</f>
        <v>A</v>
      </c>
      <c r="R62" s="6" t="str">
        <v>A</v>
      </c>
      <c r="S62" s="6" t="str">
        <v>C</v>
      </c>
      <c r="T62" s="6" t="str">
        <v>D</v>
      </c>
      <c r="U62" s="6" t="str">
        <v>C</v>
      </c>
      <c r="V62" s="6" t="str">
        <v>C</v>
      </c>
      <c r="W62" s="6" t="str">
        <v>C</v>
      </c>
      <c r="X62" s="6" t="str">
        <v>D</v>
      </c>
      <c r="Y62" s="6" t="str">
        <v>C</v>
      </c>
      <c r="Z62" s="6" t="str">
        <v>C</v>
      </c>
      <c r="AA62" s="6" t="str">
        <v>C</v>
      </c>
      <c r="AB62" s="6" t="str">
        <v>C</v>
      </c>
      <c r="AC62" s="6" t="str">
        <v>D</v>
      </c>
      <c r="AD62" s="6" t="str">
        <v>C</v>
      </c>
      <c r="AE62" s="6" t="str">
        <v>C</v>
      </c>
      <c r="AF62" s="6" t="str">
        <v>A</v>
      </c>
      <c r="AG62" s="6" t="str">
        <v>B</v>
      </c>
      <c r="AH62" s="6" t="str">
        <v>B</v>
      </c>
      <c r="AI62" s="6" t="str">
        <v>B</v>
      </c>
      <c r="AJ62" s="6" t="str">
        <v>C</v>
      </c>
      <c r="AK62" s="6" t="str">
        <v>D</v>
      </c>
      <c r="AL62" s="6" t="str">
        <v>D</v>
      </c>
      <c r="AM62" s="6" t="str">
        <v>C</v>
      </c>
      <c r="AN62" s="6" t="str">
        <v>D</v>
      </c>
      <c r="AO62" s="6" t="str">
        <v>B</v>
      </c>
    </row>
    <row r="63" spans="1:51" x14ac:dyDescent="0.2">
      <c r="N63" s="15" t="s">
        <v>279</v>
      </c>
      <c r="O63" s="19">
        <f>_xlfn.STDEV.P(O8:O59)</f>
        <v>17.825043763208171</v>
      </c>
    </row>
    <row r="65" spans="16:51" x14ac:dyDescent="0.2">
      <c r="Q65" s="6" t="str">
        <f>IF(Q38=Q5,"X","")</f>
        <v/>
      </c>
      <c r="R65" s="6" t="str">
        <f>IF(R38=R6,"X","")</f>
        <v>X</v>
      </c>
      <c r="S65" s="6" t="str">
        <f t="shared" ref="S65:AO65" si="6">IF(S38=S6,"X","")</f>
        <v>X</v>
      </c>
      <c r="T65" s="6" t="str">
        <f t="shared" si="6"/>
        <v>X</v>
      </c>
      <c r="U65" s="6" t="str">
        <f t="shared" si="6"/>
        <v/>
      </c>
      <c r="V65" s="6" t="str">
        <f t="shared" si="6"/>
        <v/>
      </c>
      <c r="W65" s="6" t="str">
        <f t="shared" si="6"/>
        <v>X</v>
      </c>
      <c r="X65" s="6" t="str">
        <f t="shared" si="6"/>
        <v>X</v>
      </c>
      <c r="Y65" s="6" t="str">
        <f t="shared" si="6"/>
        <v>X</v>
      </c>
      <c r="Z65" s="6" t="str">
        <f t="shared" si="6"/>
        <v>X</v>
      </c>
      <c r="AA65" s="6" t="str">
        <f t="shared" si="6"/>
        <v>X</v>
      </c>
      <c r="AB65" s="6" t="str">
        <f t="shared" si="6"/>
        <v>X</v>
      </c>
      <c r="AC65" s="6" t="str">
        <f t="shared" si="6"/>
        <v/>
      </c>
      <c r="AD65" s="6" t="str">
        <f t="shared" si="6"/>
        <v>X</v>
      </c>
      <c r="AE65" s="6" t="str">
        <f t="shared" si="6"/>
        <v>X</v>
      </c>
      <c r="AF65" s="6" t="str">
        <f t="shared" si="6"/>
        <v>X</v>
      </c>
      <c r="AG65" s="6" t="str">
        <f t="shared" si="6"/>
        <v>X</v>
      </c>
      <c r="AH65" s="6" t="str">
        <f t="shared" si="6"/>
        <v>X</v>
      </c>
      <c r="AI65" s="6" t="str">
        <f t="shared" si="6"/>
        <v>X</v>
      </c>
      <c r="AJ65" s="6" t="str">
        <f t="shared" si="6"/>
        <v>X</v>
      </c>
      <c r="AK65" s="6" t="str">
        <f t="shared" si="6"/>
        <v>X</v>
      </c>
      <c r="AL65" s="6" t="str">
        <f t="shared" si="6"/>
        <v/>
      </c>
      <c r="AM65" s="6" t="str">
        <f t="shared" si="6"/>
        <v>X</v>
      </c>
      <c r="AN65" s="6" t="str">
        <f t="shared" si="6"/>
        <v>X</v>
      </c>
      <c r="AO65" s="6" t="str">
        <f t="shared" si="6"/>
        <v/>
      </c>
      <c r="AP65" s="6" t="str">
        <f>IF(AP38=AP6,"X","")</f>
        <v>X</v>
      </c>
      <c r="AQ65" s="6" t="str">
        <f t="shared" ref="AQ65:AY65" si="7">IF(AQ38=AQ6,"X","")</f>
        <v>X</v>
      </c>
      <c r="AR65" s="6" t="str">
        <f t="shared" si="7"/>
        <v/>
      </c>
      <c r="AS65" s="6" t="str">
        <f t="shared" si="7"/>
        <v>X</v>
      </c>
      <c r="AT65" s="6" t="str">
        <f t="shared" si="7"/>
        <v>X</v>
      </c>
      <c r="AU65" s="6" t="str">
        <f t="shared" si="7"/>
        <v/>
      </c>
      <c r="AV65" s="6" t="str">
        <f t="shared" si="7"/>
        <v>X</v>
      </c>
      <c r="AW65" s="6" t="str">
        <f t="shared" si="7"/>
        <v/>
      </c>
      <c r="AX65" s="6" t="str">
        <f t="shared" si="7"/>
        <v>X</v>
      </c>
      <c r="AY65" s="6" t="str">
        <f t="shared" si="7"/>
        <v/>
      </c>
    </row>
    <row r="66" spans="16:51" x14ac:dyDescent="0.2">
      <c r="P66">
        <f>COUNTIF(Q65:AO65,"X")</f>
        <v>19</v>
      </c>
      <c r="Q66" s="8">
        <f>P66*3</f>
        <v>57</v>
      </c>
    </row>
    <row r="67" spans="16:51" x14ac:dyDescent="0.2">
      <c r="P67">
        <f>COUNTIF(AP65:AY65,"X")</f>
        <v>6</v>
      </c>
      <c r="Q67">
        <f>P67</f>
        <v>6</v>
      </c>
    </row>
    <row r="68" spans="16:51" x14ac:dyDescent="0.2">
      <c r="Q68">
        <f>Q66+Q67</f>
        <v>63</v>
      </c>
    </row>
    <row r="69" spans="16:51" x14ac:dyDescent="0.2">
      <c r="Q69">
        <f>(24*3)+10</f>
        <v>82</v>
      </c>
    </row>
    <row r="70" spans="16:51" x14ac:dyDescent="0.2">
      <c r="Q70">
        <f>Q68/Q69</f>
        <v>0.76829268292682928</v>
      </c>
    </row>
  </sheetData>
  <mergeCells count="15">
    <mergeCell ref="N2:N3"/>
    <mergeCell ref="O2:O3"/>
    <mergeCell ref="P2:P3"/>
    <mergeCell ref="L1:M1"/>
    <mergeCell ref="L2:L3"/>
    <mergeCell ref="M2:M3"/>
    <mergeCell ref="A2:A3"/>
    <mergeCell ref="B2:B3"/>
    <mergeCell ref="J1:K1"/>
    <mergeCell ref="E2:F2"/>
    <mergeCell ref="G2:H2"/>
    <mergeCell ref="J2:J3"/>
    <mergeCell ref="K2:K3"/>
    <mergeCell ref="C2:C3"/>
    <mergeCell ref="D2:D3"/>
  </mergeCells>
  <phoneticPr fontId="3" type="noConversion"/>
  <conditionalFormatting sqref="A8:H8">
    <cfRule type="expression" dxfId="2" priority="1">
      <formula>$P$8&lt;=-2</formula>
    </cfRule>
  </conditionalFormatting>
  <conditionalFormatting sqref="D55">
    <cfRule type="expression" dxfId="1" priority="2">
      <formula xml:space="preserve"> $R55 &lt;= -2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903E-DECD-4207-91A3-4B981FBA7E62}">
  <dimension ref="B1:E36"/>
  <sheetViews>
    <sheetView workbookViewId="0">
      <selection activeCell="E2" sqref="E2:E36"/>
    </sheetView>
  </sheetViews>
  <sheetFormatPr defaultRowHeight="12.75" x14ac:dyDescent="0.2"/>
  <cols>
    <col min="3" max="3" width="13.5703125" customWidth="1"/>
  </cols>
  <sheetData>
    <row r="1" spans="2:5" x14ac:dyDescent="0.2">
      <c r="C1" t="s">
        <v>280</v>
      </c>
      <c r="D1" s="6" t="s">
        <v>281</v>
      </c>
    </row>
    <row r="2" spans="2:5" x14ac:dyDescent="0.2">
      <c r="B2" s="15" t="str">
        <f>"Q"&amp;ROW()-1</f>
        <v>Q1</v>
      </c>
      <c r="C2" s="6" t="s">
        <v>141</v>
      </c>
      <c r="D2" s="6" t="s">
        <v>141</v>
      </c>
      <c r="E2" s="24" t="str">
        <f>IF(C2=D2,"X","")</f>
        <v>X</v>
      </c>
    </row>
    <row r="3" spans="2:5" x14ac:dyDescent="0.2">
      <c r="B3" s="15" t="str">
        <f t="shared" ref="B3:B36" si="0">"Q"&amp;ROW()-1</f>
        <v>Q2</v>
      </c>
      <c r="C3" s="6" t="s">
        <v>142</v>
      </c>
      <c r="D3" s="6" t="s">
        <v>142</v>
      </c>
      <c r="E3" s="24" t="str">
        <f t="shared" ref="E3:E36" si="1">IF(C3=D3,"X","")</f>
        <v>X</v>
      </c>
    </row>
    <row r="4" spans="2:5" x14ac:dyDescent="0.2">
      <c r="B4" s="15" t="str">
        <f t="shared" si="0"/>
        <v>Q3</v>
      </c>
      <c r="C4" s="6" t="s">
        <v>141</v>
      </c>
      <c r="D4" s="6" t="s">
        <v>142</v>
      </c>
      <c r="E4" s="24" t="str">
        <f t="shared" si="1"/>
        <v/>
      </c>
    </row>
    <row r="5" spans="2:5" x14ac:dyDescent="0.2">
      <c r="B5" s="15" t="str">
        <f t="shared" si="0"/>
        <v>Q4</v>
      </c>
      <c r="C5" s="6" t="s">
        <v>143</v>
      </c>
      <c r="D5" s="6" t="s">
        <v>143</v>
      </c>
      <c r="E5" s="24" t="str">
        <f t="shared" si="1"/>
        <v>X</v>
      </c>
    </row>
    <row r="6" spans="2:5" x14ac:dyDescent="0.2">
      <c r="B6" s="15" t="str">
        <f t="shared" si="0"/>
        <v>Q5</v>
      </c>
      <c r="C6" s="6" t="s">
        <v>143</v>
      </c>
      <c r="D6" s="6" t="s">
        <v>143</v>
      </c>
      <c r="E6" s="24" t="str">
        <f t="shared" si="1"/>
        <v>X</v>
      </c>
    </row>
    <row r="7" spans="2:5" x14ac:dyDescent="0.2">
      <c r="B7" s="15" t="str">
        <f t="shared" si="0"/>
        <v>Q6</v>
      </c>
      <c r="C7" s="6" t="s">
        <v>144</v>
      </c>
      <c r="D7" s="6" t="s">
        <v>144</v>
      </c>
      <c r="E7" s="24" t="str">
        <f t="shared" si="1"/>
        <v>X</v>
      </c>
    </row>
    <row r="8" spans="2:5" x14ac:dyDescent="0.2">
      <c r="B8" s="15" t="str">
        <f t="shared" si="0"/>
        <v>Q7</v>
      </c>
      <c r="C8" s="6" t="s">
        <v>143</v>
      </c>
      <c r="D8" s="6" t="s">
        <v>143</v>
      </c>
      <c r="E8" s="24" t="str">
        <f t="shared" si="1"/>
        <v>X</v>
      </c>
    </row>
    <row r="9" spans="2:5" x14ac:dyDescent="0.2">
      <c r="B9" s="15" t="str">
        <f t="shared" si="0"/>
        <v>Q8</v>
      </c>
      <c r="C9" s="6" t="s">
        <v>141</v>
      </c>
      <c r="D9" s="6" t="s">
        <v>143</v>
      </c>
      <c r="E9" s="24" t="str">
        <f t="shared" si="1"/>
        <v/>
      </c>
    </row>
    <row r="10" spans="2:5" x14ac:dyDescent="0.2">
      <c r="B10" s="15" t="str">
        <f t="shared" si="0"/>
        <v>Q9</v>
      </c>
      <c r="C10" s="6" t="s">
        <v>141</v>
      </c>
      <c r="D10" s="6" t="s">
        <v>143</v>
      </c>
      <c r="E10" s="24" t="str">
        <f t="shared" si="1"/>
        <v/>
      </c>
    </row>
    <row r="11" spans="2:5" x14ac:dyDescent="0.2">
      <c r="B11" s="15" t="str">
        <f t="shared" si="0"/>
        <v>Q10</v>
      </c>
      <c r="C11" s="6" t="s">
        <v>144</v>
      </c>
      <c r="D11" s="6" t="s">
        <v>144</v>
      </c>
      <c r="E11" s="24" t="str">
        <f t="shared" si="1"/>
        <v>X</v>
      </c>
    </row>
    <row r="12" spans="2:5" x14ac:dyDescent="0.2">
      <c r="B12" s="15" t="str">
        <f t="shared" si="0"/>
        <v>Q11</v>
      </c>
      <c r="C12" s="6" t="s">
        <v>143</v>
      </c>
      <c r="D12" s="6" t="s">
        <v>143</v>
      </c>
      <c r="E12" s="24" t="str">
        <f t="shared" si="1"/>
        <v>X</v>
      </c>
    </row>
    <row r="13" spans="2:5" x14ac:dyDescent="0.2">
      <c r="B13" s="15" t="str">
        <f t="shared" si="0"/>
        <v>Q12</v>
      </c>
      <c r="C13" s="6" t="s">
        <v>143</v>
      </c>
      <c r="D13" s="6" t="s">
        <v>143</v>
      </c>
      <c r="E13" s="24" t="str">
        <f t="shared" si="1"/>
        <v>X</v>
      </c>
    </row>
    <row r="14" spans="2:5" x14ac:dyDescent="0.2">
      <c r="B14" s="15" t="str">
        <f t="shared" si="0"/>
        <v>Q13</v>
      </c>
      <c r="C14" s="6" t="s">
        <v>143</v>
      </c>
      <c r="D14" s="6" t="s">
        <v>143</v>
      </c>
      <c r="E14" s="24" t="str">
        <f t="shared" si="1"/>
        <v>X</v>
      </c>
    </row>
    <row r="15" spans="2:5" x14ac:dyDescent="0.2">
      <c r="B15" s="15" t="str">
        <f t="shared" si="0"/>
        <v>Q14</v>
      </c>
      <c r="C15" s="6" t="s">
        <v>143</v>
      </c>
      <c r="D15" s="6" t="s">
        <v>143</v>
      </c>
      <c r="E15" s="24" t="str">
        <f t="shared" si="1"/>
        <v>X</v>
      </c>
    </row>
    <row r="16" spans="2:5" x14ac:dyDescent="0.2">
      <c r="B16" s="15" t="str">
        <f t="shared" si="0"/>
        <v>Q15</v>
      </c>
      <c r="C16" s="6" t="s">
        <v>141</v>
      </c>
      <c r="D16" s="6" t="s">
        <v>144</v>
      </c>
      <c r="E16" s="24" t="str">
        <f t="shared" si="1"/>
        <v/>
      </c>
    </row>
    <row r="17" spans="2:5" x14ac:dyDescent="0.2">
      <c r="B17" s="15" t="str">
        <f t="shared" si="0"/>
        <v>Q16</v>
      </c>
      <c r="C17" s="6" t="s">
        <v>143</v>
      </c>
      <c r="D17" s="6" t="s">
        <v>143</v>
      </c>
      <c r="E17" s="24" t="str">
        <f t="shared" si="1"/>
        <v>X</v>
      </c>
    </row>
    <row r="18" spans="2:5" x14ac:dyDescent="0.2">
      <c r="B18" s="15" t="str">
        <f t="shared" si="0"/>
        <v>Q17</v>
      </c>
      <c r="C18" s="6" t="s">
        <v>144</v>
      </c>
      <c r="D18" s="6" t="s">
        <v>142</v>
      </c>
      <c r="E18" s="24" t="str">
        <f t="shared" si="1"/>
        <v/>
      </c>
    </row>
    <row r="19" spans="2:5" x14ac:dyDescent="0.2">
      <c r="B19" s="15" t="str">
        <f t="shared" si="0"/>
        <v>Q18</v>
      </c>
      <c r="C19" s="6" t="s">
        <v>141</v>
      </c>
      <c r="D19" s="6" t="s">
        <v>141</v>
      </c>
      <c r="E19" s="24" t="str">
        <f t="shared" si="1"/>
        <v>X</v>
      </c>
    </row>
    <row r="20" spans="2:5" x14ac:dyDescent="0.2">
      <c r="B20" s="15" t="str">
        <f t="shared" si="0"/>
        <v>Q19</v>
      </c>
      <c r="C20" s="6" t="s">
        <v>141</v>
      </c>
      <c r="D20" s="6" t="s">
        <v>141</v>
      </c>
      <c r="E20" s="24" t="str">
        <f t="shared" si="1"/>
        <v>X</v>
      </c>
    </row>
    <row r="21" spans="2:5" x14ac:dyDescent="0.2">
      <c r="B21" s="15" t="str">
        <f t="shared" si="0"/>
        <v>Q20</v>
      </c>
      <c r="C21" s="6" t="s">
        <v>144</v>
      </c>
      <c r="D21" s="6" t="s">
        <v>144</v>
      </c>
      <c r="E21" s="24" t="str">
        <f t="shared" si="1"/>
        <v>X</v>
      </c>
    </row>
    <row r="22" spans="2:5" x14ac:dyDescent="0.2">
      <c r="B22" s="15" t="str">
        <f t="shared" si="0"/>
        <v>Q21</v>
      </c>
      <c r="C22" s="6" t="s">
        <v>143</v>
      </c>
      <c r="D22" s="6" t="s">
        <v>143</v>
      </c>
      <c r="E22" s="24" t="str">
        <f t="shared" si="1"/>
        <v>X</v>
      </c>
    </row>
    <row r="23" spans="2:5" x14ac:dyDescent="0.2">
      <c r="B23" s="15" t="str">
        <f t="shared" si="0"/>
        <v>Q22</v>
      </c>
      <c r="C23" s="6" t="s">
        <v>144</v>
      </c>
      <c r="D23" s="6" t="s">
        <v>144</v>
      </c>
      <c r="E23" s="24" t="str">
        <f t="shared" si="1"/>
        <v>X</v>
      </c>
    </row>
    <row r="24" spans="2:5" x14ac:dyDescent="0.2">
      <c r="B24" s="15" t="str">
        <f t="shared" si="0"/>
        <v>Q23</v>
      </c>
      <c r="C24" s="6" t="s">
        <v>143</v>
      </c>
      <c r="D24" s="6" t="s">
        <v>143</v>
      </c>
      <c r="E24" s="24" t="str">
        <f t="shared" si="1"/>
        <v>X</v>
      </c>
    </row>
    <row r="25" spans="2:5" x14ac:dyDescent="0.2">
      <c r="B25" s="15" t="str">
        <f t="shared" si="0"/>
        <v>Q24</v>
      </c>
      <c r="C25" s="6" t="s">
        <v>144</v>
      </c>
      <c r="D25" s="6" t="s">
        <v>144</v>
      </c>
      <c r="E25" s="24" t="str">
        <f t="shared" si="1"/>
        <v>X</v>
      </c>
    </row>
    <row r="26" spans="2:5" x14ac:dyDescent="0.2">
      <c r="B26" s="15" t="str">
        <f t="shared" si="0"/>
        <v>Q25</v>
      </c>
      <c r="C26" s="6" t="s">
        <v>141</v>
      </c>
      <c r="D26" s="6" t="s">
        <v>141</v>
      </c>
      <c r="E26" s="24" t="str">
        <f t="shared" si="1"/>
        <v>X</v>
      </c>
    </row>
    <row r="27" spans="2:5" x14ac:dyDescent="0.2">
      <c r="B27" s="15" t="str">
        <f t="shared" si="0"/>
        <v>Q26</v>
      </c>
      <c r="C27" s="6" t="s">
        <v>141</v>
      </c>
      <c r="D27" s="6" t="s">
        <v>142</v>
      </c>
      <c r="E27" s="24" t="str">
        <f t="shared" si="1"/>
        <v/>
      </c>
    </row>
    <row r="28" spans="2:5" x14ac:dyDescent="0.2">
      <c r="B28" s="15" t="str">
        <f t="shared" si="0"/>
        <v>Q27</v>
      </c>
      <c r="C28" s="6" t="s">
        <v>142</v>
      </c>
      <c r="D28" s="6" t="s">
        <v>142</v>
      </c>
      <c r="E28" s="24" t="str">
        <f t="shared" si="1"/>
        <v>X</v>
      </c>
    </row>
    <row r="29" spans="2:5" x14ac:dyDescent="0.2">
      <c r="B29" s="15" t="str">
        <f t="shared" si="0"/>
        <v>Q28</v>
      </c>
      <c r="C29" s="6" t="s">
        <v>142</v>
      </c>
      <c r="D29" s="6" t="s">
        <v>142</v>
      </c>
      <c r="E29" s="24" t="str">
        <f t="shared" si="1"/>
        <v>X</v>
      </c>
    </row>
    <row r="30" spans="2:5" x14ac:dyDescent="0.2">
      <c r="B30" s="15" t="str">
        <f t="shared" si="0"/>
        <v>Q29</v>
      </c>
      <c r="C30" s="6" t="s">
        <v>141</v>
      </c>
      <c r="D30" s="6" t="s">
        <v>141</v>
      </c>
      <c r="E30" s="24" t="str">
        <f t="shared" si="1"/>
        <v>X</v>
      </c>
    </row>
    <row r="31" spans="2:5" x14ac:dyDescent="0.2">
      <c r="B31" s="15" t="str">
        <f t="shared" si="0"/>
        <v>Q30</v>
      </c>
      <c r="C31" s="6" t="s">
        <v>141</v>
      </c>
      <c r="D31" s="6" t="s">
        <v>141</v>
      </c>
      <c r="E31" s="24" t="str">
        <f t="shared" si="1"/>
        <v>X</v>
      </c>
    </row>
    <row r="32" spans="2:5" x14ac:dyDescent="0.2">
      <c r="B32" s="15" t="str">
        <f t="shared" si="0"/>
        <v>Q31</v>
      </c>
      <c r="C32" s="6" t="s">
        <v>142</v>
      </c>
      <c r="D32" s="6" t="s">
        <v>142</v>
      </c>
      <c r="E32" s="24" t="str">
        <f t="shared" si="1"/>
        <v>X</v>
      </c>
    </row>
    <row r="33" spans="2:5" x14ac:dyDescent="0.2">
      <c r="B33" s="15" t="str">
        <f t="shared" si="0"/>
        <v>Q32</v>
      </c>
      <c r="C33" s="6" t="s">
        <v>141</v>
      </c>
      <c r="D33" s="6" t="s">
        <v>141</v>
      </c>
      <c r="E33" s="24" t="str">
        <f t="shared" si="1"/>
        <v>X</v>
      </c>
    </row>
    <row r="34" spans="2:5" x14ac:dyDescent="0.2">
      <c r="B34" s="15" t="str">
        <f t="shared" si="0"/>
        <v>Q33</v>
      </c>
      <c r="C34" s="6" t="s">
        <v>142</v>
      </c>
      <c r="D34" s="6" t="s">
        <v>141</v>
      </c>
      <c r="E34" s="24" t="str">
        <f t="shared" si="1"/>
        <v/>
      </c>
    </row>
    <row r="35" spans="2:5" x14ac:dyDescent="0.2">
      <c r="B35" s="15" t="str">
        <f t="shared" si="0"/>
        <v>Q34</v>
      </c>
      <c r="C35" s="6" t="s">
        <v>142</v>
      </c>
      <c r="D35" s="6" t="s">
        <v>142</v>
      </c>
      <c r="E35" s="24" t="str">
        <f t="shared" si="1"/>
        <v>X</v>
      </c>
    </row>
    <row r="36" spans="2:5" x14ac:dyDescent="0.2">
      <c r="B36" s="15" t="str">
        <f t="shared" si="0"/>
        <v>Q35</v>
      </c>
      <c r="C36" s="6" t="s">
        <v>141</v>
      </c>
      <c r="D36" s="6" t="s">
        <v>141</v>
      </c>
      <c r="E36" s="24" t="str">
        <f t="shared" si="1"/>
        <v>X</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A838-4BF5-4634-A74D-F49100E8E6C6}">
  <dimension ref="A2:S57"/>
  <sheetViews>
    <sheetView workbookViewId="0">
      <selection activeCell="U40" sqref="U40"/>
    </sheetView>
  </sheetViews>
  <sheetFormatPr defaultRowHeight="12.75" x14ac:dyDescent="0.2"/>
  <cols>
    <col min="1" max="1" width="29.7109375" customWidth="1"/>
    <col min="3" max="6" width="8" customWidth="1"/>
    <col min="7" max="7" width="7" customWidth="1"/>
    <col min="8" max="8" width="8.7109375" customWidth="1"/>
    <col min="10" max="14" width="6.5703125" customWidth="1"/>
    <col min="15" max="15" width="10.140625" customWidth="1"/>
    <col min="17" max="17" width="9.5703125" bestFit="1" customWidth="1"/>
    <col min="19" max="19" width="7.85546875" customWidth="1"/>
  </cols>
  <sheetData>
    <row r="2" spans="1:19" ht="38.25" x14ac:dyDescent="0.2">
      <c r="A2" s="22" t="s">
        <v>151</v>
      </c>
      <c r="B2" s="22" t="s">
        <v>148</v>
      </c>
      <c r="C2" s="23" t="s">
        <v>271</v>
      </c>
      <c r="D2" s="23" t="s">
        <v>272</v>
      </c>
      <c r="E2" s="23" t="s">
        <v>271</v>
      </c>
      <c r="F2" s="23" t="s">
        <v>272</v>
      </c>
      <c r="G2" s="23" t="s">
        <v>273</v>
      </c>
      <c r="H2" s="23" t="s">
        <v>274</v>
      </c>
      <c r="J2" s="23" t="s">
        <v>271</v>
      </c>
      <c r="K2" s="23" t="s">
        <v>272</v>
      </c>
      <c r="L2" s="23" t="s">
        <v>271</v>
      </c>
      <c r="M2" s="23" t="s">
        <v>272</v>
      </c>
      <c r="N2" s="23" t="s">
        <v>273</v>
      </c>
      <c r="O2" s="23" t="s">
        <v>274</v>
      </c>
    </row>
    <row r="3" spans="1:19" ht="12.75" customHeight="1" x14ac:dyDescent="0.2">
      <c r="A3" t="s">
        <v>153</v>
      </c>
      <c r="B3">
        <v>43957</v>
      </c>
      <c r="C3">
        <v>16</v>
      </c>
      <c r="D3">
        <v>8</v>
      </c>
      <c r="E3">
        <v>15</v>
      </c>
      <c r="F3">
        <v>8</v>
      </c>
      <c r="G3">
        <v>53</v>
      </c>
      <c r="H3" s="20">
        <v>64.634146341463421</v>
      </c>
      <c r="J3">
        <v>17</v>
      </c>
      <c r="K3">
        <v>8</v>
      </c>
      <c r="L3">
        <v>16</v>
      </c>
      <c r="M3">
        <v>8</v>
      </c>
      <c r="N3">
        <v>56</v>
      </c>
      <c r="O3" s="20">
        <v>68.292682926829272</v>
      </c>
      <c r="P3" s="6" t="str">
        <f>IF(O3&gt;H3,"+",IF(O3&lt;H3,"-",S3))</f>
        <v>+</v>
      </c>
      <c r="Q3" s="20">
        <f>IF(O3&gt;H3,O3,H3)</f>
        <v>68.292682926829272</v>
      </c>
      <c r="R3" s="20">
        <f>(Q3-$Q$56)/$Q$57</f>
        <v>0.51800397490289407</v>
      </c>
      <c r="S3" s="24" t="str">
        <f>IF(R3&lt;=-2,"XXX",IF(AND(R3&lt;=-1.5,R3&gt;-2),"XX",IF(AND(R3&lt;=-1,R3&gt;-1.5),"X","")))</f>
        <v/>
      </c>
    </row>
    <row r="4" spans="1:19" x14ac:dyDescent="0.2">
      <c r="A4" t="s">
        <v>155</v>
      </c>
      <c r="B4">
        <v>43957</v>
      </c>
      <c r="C4">
        <v>23</v>
      </c>
      <c r="D4">
        <v>10</v>
      </c>
      <c r="E4">
        <v>22</v>
      </c>
      <c r="F4">
        <v>10</v>
      </c>
      <c r="G4">
        <v>76</v>
      </c>
      <c r="H4" s="20">
        <v>92.682926829268297</v>
      </c>
      <c r="J4">
        <v>24</v>
      </c>
      <c r="K4">
        <v>10</v>
      </c>
      <c r="L4">
        <v>23</v>
      </c>
      <c r="M4">
        <v>10</v>
      </c>
      <c r="N4">
        <v>79</v>
      </c>
      <c r="O4" s="20">
        <v>96.341463414634148</v>
      </c>
      <c r="P4" s="6" t="str">
        <f t="shared" ref="P4:P54" si="0">IF(O4&gt;H4,"+",IF(O4&lt;H4,"-",S4))</f>
        <v>+</v>
      </c>
      <c r="Q4" s="20">
        <f t="shared" ref="Q4:Q54" si="1">IF(O4&gt;H4,O4,H4)</f>
        <v>96.341463414634148</v>
      </c>
      <c r="R4" s="20">
        <f t="shared" ref="R4:R54" si="2">(Q4-$Q$56)/$Q$57</f>
        <v>2.0984446738413145</v>
      </c>
      <c r="S4" s="24" t="str">
        <f t="shared" ref="S4:S54" si="3">IF(R4&lt;=-2,"XXX",IF(AND(R4&lt;=-1.5,R4&gt;-2),"XX",IF(AND(R4&lt;=-1,R4&gt;-1.5),"X","")))</f>
        <v/>
      </c>
    </row>
    <row r="5" spans="1:19" x14ac:dyDescent="0.2">
      <c r="A5" t="s">
        <v>157</v>
      </c>
      <c r="B5">
        <v>43958</v>
      </c>
      <c r="C5">
        <v>9</v>
      </c>
      <c r="D5">
        <v>5</v>
      </c>
      <c r="E5">
        <v>9</v>
      </c>
      <c r="F5">
        <v>5</v>
      </c>
      <c r="G5">
        <v>32</v>
      </c>
      <c r="H5" s="20">
        <v>39.024390243902438</v>
      </c>
      <c r="J5">
        <v>8</v>
      </c>
      <c r="K5">
        <v>5</v>
      </c>
      <c r="L5">
        <v>8</v>
      </c>
      <c r="M5">
        <v>5</v>
      </c>
      <c r="N5">
        <v>29</v>
      </c>
      <c r="O5" s="20">
        <v>35.365853658536587</v>
      </c>
      <c r="P5" s="6" t="str">
        <f t="shared" si="0"/>
        <v>-</v>
      </c>
      <c r="Q5" s="20">
        <f t="shared" si="1"/>
        <v>39.024390243902438</v>
      </c>
      <c r="R5" s="20">
        <f t="shared" si="2"/>
        <v>-1.1311515370328493</v>
      </c>
      <c r="S5" s="24" t="str">
        <f t="shared" si="3"/>
        <v>X</v>
      </c>
    </row>
    <row r="6" spans="1:19" x14ac:dyDescent="0.2">
      <c r="A6" t="s">
        <v>159</v>
      </c>
      <c r="B6">
        <v>43958</v>
      </c>
      <c r="C6">
        <v>13</v>
      </c>
      <c r="D6">
        <v>4</v>
      </c>
      <c r="E6">
        <v>12</v>
      </c>
      <c r="F6">
        <v>4</v>
      </c>
      <c r="G6">
        <v>40</v>
      </c>
      <c r="H6" s="20">
        <v>48.780487804878049</v>
      </c>
      <c r="J6">
        <v>12</v>
      </c>
      <c r="K6">
        <v>4</v>
      </c>
      <c r="L6">
        <v>11</v>
      </c>
      <c r="M6">
        <v>4</v>
      </c>
      <c r="N6">
        <v>37</v>
      </c>
      <c r="O6" s="20">
        <v>45.121951219512198</v>
      </c>
      <c r="P6" s="6" t="str">
        <f t="shared" si="0"/>
        <v>-</v>
      </c>
      <c r="Q6" s="20">
        <f t="shared" si="1"/>
        <v>48.780487804878049</v>
      </c>
      <c r="R6" s="20">
        <f t="shared" si="2"/>
        <v>-0.58143303305426808</v>
      </c>
      <c r="S6" s="24" t="str">
        <f t="shared" si="3"/>
        <v/>
      </c>
    </row>
    <row r="7" spans="1:19" x14ac:dyDescent="0.2">
      <c r="A7" t="s">
        <v>243</v>
      </c>
      <c r="B7">
        <v>43958</v>
      </c>
      <c r="C7">
        <v>14</v>
      </c>
      <c r="D7">
        <v>7</v>
      </c>
      <c r="E7">
        <v>13</v>
      </c>
      <c r="F7">
        <v>7</v>
      </c>
      <c r="G7">
        <v>46</v>
      </c>
      <c r="H7" s="20">
        <v>56.097560975609753</v>
      </c>
      <c r="J7">
        <v>15</v>
      </c>
      <c r="K7">
        <v>7</v>
      </c>
      <c r="L7">
        <v>14</v>
      </c>
      <c r="M7">
        <v>7</v>
      </c>
      <c r="N7">
        <v>49</v>
      </c>
      <c r="O7" s="20">
        <v>59.756097560975611</v>
      </c>
      <c r="P7" s="6" t="str">
        <f t="shared" si="0"/>
        <v>+</v>
      </c>
      <c r="Q7" s="20">
        <f t="shared" si="1"/>
        <v>59.756097560975611</v>
      </c>
      <c r="R7" s="20">
        <f t="shared" si="2"/>
        <v>3.7000283921635582E-2</v>
      </c>
      <c r="S7" s="24" t="str">
        <f t="shared" si="3"/>
        <v/>
      </c>
    </row>
    <row r="8" spans="1:19" x14ac:dyDescent="0.2">
      <c r="A8" t="s">
        <v>161</v>
      </c>
      <c r="B8">
        <v>43958</v>
      </c>
      <c r="C8">
        <v>11</v>
      </c>
      <c r="D8">
        <v>8</v>
      </c>
      <c r="E8">
        <v>10</v>
      </c>
      <c r="F8">
        <v>8</v>
      </c>
      <c r="G8">
        <v>38</v>
      </c>
      <c r="H8" s="20">
        <v>46.341463414634148</v>
      </c>
      <c r="J8">
        <v>12</v>
      </c>
      <c r="K8">
        <v>8</v>
      </c>
      <c r="L8">
        <v>11</v>
      </c>
      <c r="M8">
        <v>8</v>
      </c>
      <c r="N8">
        <v>41</v>
      </c>
      <c r="O8" s="20">
        <v>50</v>
      </c>
      <c r="P8" s="6" t="str">
        <f t="shared" si="0"/>
        <v>+</v>
      </c>
      <c r="Q8" s="20">
        <f t="shared" si="1"/>
        <v>50</v>
      </c>
      <c r="R8" s="20">
        <f t="shared" si="2"/>
        <v>-0.51271822005694556</v>
      </c>
      <c r="S8" s="24" t="str">
        <f t="shared" si="3"/>
        <v/>
      </c>
    </row>
    <row r="9" spans="1:19" x14ac:dyDescent="0.2">
      <c r="A9" t="s">
        <v>163</v>
      </c>
      <c r="B9">
        <v>43957</v>
      </c>
      <c r="C9">
        <v>17</v>
      </c>
      <c r="D9">
        <v>8</v>
      </c>
      <c r="E9">
        <v>17</v>
      </c>
      <c r="F9">
        <v>8</v>
      </c>
      <c r="G9">
        <v>59</v>
      </c>
      <c r="H9" s="20">
        <v>71.951219512195124</v>
      </c>
      <c r="J9">
        <v>18</v>
      </c>
      <c r="K9">
        <v>8</v>
      </c>
      <c r="L9">
        <v>18</v>
      </c>
      <c r="M9">
        <v>8</v>
      </c>
      <c r="N9">
        <v>62</v>
      </c>
      <c r="O9" s="20">
        <v>75.609756097560975</v>
      </c>
      <c r="P9" s="6" t="str">
        <f t="shared" si="0"/>
        <v>+</v>
      </c>
      <c r="Q9" s="20">
        <f t="shared" si="1"/>
        <v>75.609756097560975</v>
      </c>
      <c r="R9" s="20">
        <f t="shared" si="2"/>
        <v>0.93029285288682961</v>
      </c>
      <c r="S9" s="24" t="str">
        <f t="shared" si="3"/>
        <v/>
      </c>
    </row>
    <row r="10" spans="1:19" x14ac:dyDescent="0.2">
      <c r="A10" t="s">
        <v>165</v>
      </c>
      <c r="B10">
        <v>43957</v>
      </c>
      <c r="C10">
        <v>11</v>
      </c>
      <c r="D10">
        <v>5</v>
      </c>
      <c r="E10">
        <v>10</v>
      </c>
      <c r="F10">
        <v>5</v>
      </c>
      <c r="G10">
        <v>35</v>
      </c>
      <c r="H10" s="20">
        <v>42.68292682926829</v>
      </c>
      <c r="J10">
        <v>12</v>
      </c>
      <c r="K10">
        <v>5</v>
      </c>
      <c r="L10">
        <v>11</v>
      </c>
      <c r="M10">
        <v>5</v>
      </c>
      <c r="N10">
        <v>38</v>
      </c>
      <c r="O10" s="20">
        <v>46.341463414634148</v>
      </c>
      <c r="P10" s="6" t="str">
        <f t="shared" si="0"/>
        <v>+</v>
      </c>
      <c r="Q10" s="20">
        <f t="shared" si="1"/>
        <v>46.341463414634148</v>
      </c>
      <c r="R10" s="20">
        <f t="shared" si="2"/>
        <v>-0.71886265904891333</v>
      </c>
      <c r="S10" s="24" t="str">
        <f t="shared" si="3"/>
        <v/>
      </c>
    </row>
    <row r="11" spans="1:19" x14ac:dyDescent="0.2">
      <c r="A11" t="s">
        <v>167</v>
      </c>
      <c r="B11">
        <v>43957</v>
      </c>
      <c r="C11">
        <v>23</v>
      </c>
      <c r="D11">
        <v>9</v>
      </c>
      <c r="E11">
        <v>22</v>
      </c>
      <c r="F11">
        <v>9</v>
      </c>
      <c r="G11">
        <v>75</v>
      </c>
      <c r="H11" s="20">
        <v>91.463414634146346</v>
      </c>
      <c r="J11">
        <v>24</v>
      </c>
      <c r="K11">
        <v>9</v>
      </c>
      <c r="L11">
        <v>23</v>
      </c>
      <c r="M11">
        <v>9</v>
      </c>
      <c r="N11">
        <v>78</v>
      </c>
      <c r="O11" s="20">
        <v>95.121951219512198</v>
      </c>
      <c r="P11" s="6" t="str">
        <f t="shared" si="0"/>
        <v>+</v>
      </c>
      <c r="Q11" s="20">
        <f t="shared" si="1"/>
        <v>95.121951219512198</v>
      </c>
      <c r="R11" s="20">
        <f t="shared" si="2"/>
        <v>2.0297298608439918</v>
      </c>
      <c r="S11" s="24" t="str">
        <f t="shared" si="3"/>
        <v/>
      </c>
    </row>
    <row r="12" spans="1:19" x14ac:dyDescent="0.2">
      <c r="A12" t="s">
        <v>171</v>
      </c>
      <c r="B12">
        <v>43957</v>
      </c>
      <c r="C12">
        <v>7</v>
      </c>
      <c r="D12">
        <v>5</v>
      </c>
      <c r="E12">
        <v>7</v>
      </c>
      <c r="F12">
        <v>5</v>
      </c>
      <c r="G12">
        <v>26</v>
      </c>
      <c r="H12" s="20">
        <v>31.707317073170731</v>
      </c>
      <c r="J12">
        <v>8</v>
      </c>
      <c r="K12">
        <v>5</v>
      </c>
      <c r="L12">
        <v>8</v>
      </c>
      <c r="M12">
        <v>5</v>
      </c>
      <c r="N12">
        <v>29</v>
      </c>
      <c r="O12" s="20">
        <v>35.365853658536587</v>
      </c>
      <c r="P12" s="6" t="str">
        <f t="shared" si="0"/>
        <v>+</v>
      </c>
      <c r="Q12" s="20">
        <f t="shared" si="1"/>
        <v>35.365853658536587</v>
      </c>
      <c r="R12" s="20">
        <f t="shared" si="2"/>
        <v>-1.3372959760248171</v>
      </c>
      <c r="S12" s="24" t="str">
        <f t="shared" si="3"/>
        <v>X</v>
      </c>
    </row>
    <row r="13" spans="1:19" x14ac:dyDescent="0.2">
      <c r="A13" t="s">
        <v>173</v>
      </c>
      <c r="B13">
        <v>43957</v>
      </c>
      <c r="C13">
        <v>14</v>
      </c>
      <c r="D13">
        <v>8</v>
      </c>
      <c r="E13">
        <v>13</v>
      </c>
      <c r="F13">
        <v>8</v>
      </c>
      <c r="G13">
        <v>47</v>
      </c>
      <c r="H13" s="20">
        <v>57.31707317073171</v>
      </c>
      <c r="J13">
        <v>15</v>
      </c>
      <c r="K13">
        <v>8</v>
      </c>
      <c r="L13">
        <v>14</v>
      </c>
      <c r="M13">
        <v>8</v>
      </c>
      <c r="N13">
        <v>59.8</v>
      </c>
      <c r="O13" s="20">
        <v>60.975609756097562</v>
      </c>
      <c r="P13" s="6" t="str">
        <f t="shared" si="0"/>
        <v>+</v>
      </c>
      <c r="Q13" s="20">
        <f t="shared" si="1"/>
        <v>60.975609756097562</v>
      </c>
      <c r="R13" s="20">
        <f t="shared" si="2"/>
        <v>0.10571509691895817</v>
      </c>
      <c r="S13" s="24" t="str">
        <f t="shared" si="3"/>
        <v/>
      </c>
    </row>
    <row r="14" spans="1:19" x14ac:dyDescent="0.2">
      <c r="A14" t="s">
        <v>175</v>
      </c>
      <c r="B14">
        <v>43957</v>
      </c>
      <c r="C14">
        <v>18</v>
      </c>
      <c r="D14">
        <v>6</v>
      </c>
      <c r="E14">
        <v>17</v>
      </c>
      <c r="F14">
        <v>6</v>
      </c>
      <c r="G14">
        <v>57</v>
      </c>
      <c r="H14" s="20">
        <v>69.512195121951223</v>
      </c>
      <c r="J14">
        <v>17</v>
      </c>
      <c r="K14">
        <v>6</v>
      </c>
      <c r="L14">
        <v>16</v>
      </c>
      <c r="M14">
        <v>6</v>
      </c>
      <c r="N14">
        <v>53.7</v>
      </c>
      <c r="O14" s="20">
        <v>65.853658536585371</v>
      </c>
      <c r="P14" s="6" t="str">
        <f t="shared" si="0"/>
        <v>-</v>
      </c>
      <c r="Q14" s="20">
        <f t="shared" si="1"/>
        <v>69.512195121951223</v>
      </c>
      <c r="R14" s="20">
        <f t="shared" si="2"/>
        <v>0.5867187879002167</v>
      </c>
      <c r="S14" s="24" t="str">
        <f t="shared" si="3"/>
        <v/>
      </c>
    </row>
    <row r="15" spans="1:19" x14ac:dyDescent="0.2">
      <c r="A15" t="s">
        <v>177</v>
      </c>
      <c r="B15">
        <v>43958</v>
      </c>
      <c r="C15">
        <v>17</v>
      </c>
      <c r="D15">
        <v>7</v>
      </c>
      <c r="E15">
        <v>16</v>
      </c>
      <c r="F15">
        <v>7</v>
      </c>
      <c r="G15">
        <v>55</v>
      </c>
      <c r="H15" s="20">
        <v>67.073170731707322</v>
      </c>
      <c r="J15">
        <v>16</v>
      </c>
      <c r="K15">
        <v>7</v>
      </c>
      <c r="L15">
        <v>15</v>
      </c>
      <c r="M15">
        <v>7</v>
      </c>
      <c r="N15">
        <v>52</v>
      </c>
      <c r="O15" s="20">
        <v>63.414634146341463</v>
      </c>
      <c r="P15" s="6" t="str">
        <f t="shared" si="0"/>
        <v>-</v>
      </c>
      <c r="Q15" s="20">
        <f t="shared" si="1"/>
        <v>67.073170731707322</v>
      </c>
      <c r="R15" s="20">
        <f t="shared" si="2"/>
        <v>0.4492891619055715</v>
      </c>
      <c r="S15" s="24" t="str">
        <f t="shared" si="3"/>
        <v/>
      </c>
    </row>
    <row r="16" spans="1:19" x14ac:dyDescent="0.2">
      <c r="A16" t="s">
        <v>179</v>
      </c>
      <c r="B16">
        <v>43957</v>
      </c>
      <c r="C16">
        <v>6</v>
      </c>
      <c r="D16">
        <v>5</v>
      </c>
      <c r="E16">
        <v>6</v>
      </c>
      <c r="F16">
        <v>5</v>
      </c>
      <c r="G16">
        <v>23</v>
      </c>
      <c r="H16" s="20">
        <v>28.048780487804876</v>
      </c>
      <c r="J16">
        <v>7</v>
      </c>
      <c r="K16">
        <v>5</v>
      </c>
      <c r="L16">
        <v>7</v>
      </c>
      <c r="M16">
        <v>5</v>
      </c>
      <c r="N16">
        <v>26</v>
      </c>
      <c r="O16" s="20">
        <v>31.707317073170731</v>
      </c>
      <c r="P16" s="6" t="str">
        <f t="shared" si="0"/>
        <v>+</v>
      </c>
      <c r="Q16" s="20">
        <f t="shared" si="1"/>
        <v>31.707317073170731</v>
      </c>
      <c r="R16" s="20">
        <f t="shared" si="2"/>
        <v>-1.5434404150167849</v>
      </c>
      <c r="S16" s="24" t="str">
        <f t="shared" si="3"/>
        <v>XX</v>
      </c>
    </row>
    <row r="17" spans="1:19" x14ac:dyDescent="0.2">
      <c r="A17" t="s">
        <v>181</v>
      </c>
      <c r="B17">
        <v>43958</v>
      </c>
      <c r="C17">
        <v>13</v>
      </c>
      <c r="D17">
        <v>8</v>
      </c>
      <c r="E17">
        <v>13</v>
      </c>
      <c r="F17">
        <v>8</v>
      </c>
      <c r="G17">
        <v>47</v>
      </c>
      <c r="H17" s="20">
        <v>57.31707317073171</v>
      </c>
      <c r="J17">
        <v>12</v>
      </c>
      <c r="K17">
        <v>8</v>
      </c>
      <c r="L17">
        <v>12</v>
      </c>
      <c r="M17">
        <v>8</v>
      </c>
      <c r="N17">
        <v>44</v>
      </c>
      <c r="O17" s="20">
        <v>53.658536585365852</v>
      </c>
      <c r="P17" s="6" t="str">
        <f t="shared" si="0"/>
        <v>-</v>
      </c>
      <c r="Q17" s="20">
        <f t="shared" si="1"/>
        <v>57.31707317073171</v>
      </c>
      <c r="R17" s="20">
        <f t="shared" si="2"/>
        <v>-0.1004293420730096</v>
      </c>
      <c r="S17" s="24" t="str">
        <f t="shared" si="3"/>
        <v/>
      </c>
    </row>
    <row r="18" spans="1:19" x14ac:dyDescent="0.2">
      <c r="A18" t="s">
        <v>183</v>
      </c>
      <c r="B18">
        <v>43958</v>
      </c>
      <c r="C18">
        <v>10</v>
      </c>
      <c r="D18">
        <v>7</v>
      </c>
      <c r="E18">
        <v>9</v>
      </c>
      <c r="F18">
        <v>7</v>
      </c>
      <c r="G18">
        <v>34</v>
      </c>
      <c r="H18" s="20">
        <v>41.463414634146339</v>
      </c>
      <c r="J18">
        <v>11</v>
      </c>
      <c r="K18">
        <v>7</v>
      </c>
      <c r="L18">
        <v>10</v>
      </c>
      <c r="M18">
        <v>7</v>
      </c>
      <c r="N18">
        <v>37</v>
      </c>
      <c r="O18" s="20">
        <v>45.121951219512198</v>
      </c>
      <c r="P18" s="6" t="str">
        <f t="shared" si="0"/>
        <v>+</v>
      </c>
      <c r="Q18" s="20">
        <f t="shared" si="1"/>
        <v>45.121951219512198</v>
      </c>
      <c r="R18" s="20">
        <f t="shared" si="2"/>
        <v>-0.78757747204623585</v>
      </c>
      <c r="S18" s="24" t="str">
        <f t="shared" si="3"/>
        <v/>
      </c>
    </row>
    <row r="19" spans="1:19" x14ac:dyDescent="0.2">
      <c r="A19" t="s">
        <v>185</v>
      </c>
      <c r="B19">
        <v>43958</v>
      </c>
      <c r="C19">
        <v>13</v>
      </c>
      <c r="D19">
        <v>7</v>
      </c>
      <c r="E19">
        <v>13</v>
      </c>
      <c r="F19">
        <v>7</v>
      </c>
      <c r="G19">
        <v>46</v>
      </c>
      <c r="H19" s="20">
        <v>56.097560975609753</v>
      </c>
      <c r="J19">
        <v>14</v>
      </c>
      <c r="K19">
        <v>7</v>
      </c>
      <c r="L19">
        <v>14</v>
      </c>
      <c r="M19">
        <v>7</v>
      </c>
      <c r="N19">
        <v>49</v>
      </c>
      <c r="O19" s="20">
        <v>59.756097560975611</v>
      </c>
      <c r="P19" s="6" t="str">
        <f t="shared" si="0"/>
        <v>+</v>
      </c>
      <c r="Q19" s="20">
        <f t="shared" si="1"/>
        <v>59.756097560975611</v>
      </c>
      <c r="R19" s="20">
        <f t="shared" si="2"/>
        <v>3.7000283921635582E-2</v>
      </c>
      <c r="S19" s="24" t="str">
        <f t="shared" si="3"/>
        <v/>
      </c>
    </row>
    <row r="20" spans="1:19" x14ac:dyDescent="0.2">
      <c r="A20" t="s">
        <v>187</v>
      </c>
      <c r="B20">
        <v>43957</v>
      </c>
      <c r="C20">
        <v>12</v>
      </c>
      <c r="D20">
        <v>7</v>
      </c>
      <c r="E20">
        <v>11</v>
      </c>
      <c r="F20">
        <v>7</v>
      </c>
      <c r="G20">
        <v>40</v>
      </c>
      <c r="H20" s="20">
        <v>48.780487804878049</v>
      </c>
      <c r="J20">
        <v>13</v>
      </c>
      <c r="K20">
        <v>7</v>
      </c>
      <c r="L20">
        <v>12</v>
      </c>
      <c r="M20">
        <v>7</v>
      </c>
      <c r="N20">
        <v>43</v>
      </c>
      <c r="O20" s="20">
        <v>52.439024390243901</v>
      </c>
      <c r="P20" s="6" t="str">
        <f t="shared" si="0"/>
        <v>+</v>
      </c>
      <c r="Q20" s="20">
        <f t="shared" si="1"/>
        <v>52.439024390243901</v>
      </c>
      <c r="R20" s="20">
        <f t="shared" si="2"/>
        <v>-0.37528859406230036</v>
      </c>
      <c r="S20" s="24" t="str">
        <f t="shared" si="3"/>
        <v/>
      </c>
    </row>
    <row r="21" spans="1:19" x14ac:dyDescent="0.2">
      <c r="A21" t="s">
        <v>189</v>
      </c>
      <c r="B21">
        <v>43958</v>
      </c>
      <c r="C21">
        <v>14</v>
      </c>
      <c r="D21">
        <v>8</v>
      </c>
      <c r="E21">
        <v>13</v>
      </c>
      <c r="F21">
        <v>8</v>
      </c>
      <c r="G21">
        <v>47</v>
      </c>
      <c r="H21" s="20">
        <v>57.31707317073171</v>
      </c>
      <c r="J21">
        <v>13</v>
      </c>
      <c r="K21">
        <v>8</v>
      </c>
      <c r="L21">
        <v>12</v>
      </c>
      <c r="M21">
        <v>8</v>
      </c>
      <c r="N21">
        <v>44</v>
      </c>
      <c r="O21" s="20">
        <v>53.658536585365852</v>
      </c>
      <c r="P21" s="6" t="str">
        <f t="shared" si="0"/>
        <v>-</v>
      </c>
      <c r="Q21" s="20">
        <f t="shared" si="1"/>
        <v>57.31707317073171</v>
      </c>
      <c r="R21" s="20">
        <f t="shared" si="2"/>
        <v>-0.1004293420730096</v>
      </c>
      <c r="S21" s="24" t="str">
        <f t="shared" si="3"/>
        <v/>
      </c>
    </row>
    <row r="22" spans="1:19" x14ac:dyDescent="0.2">
      <c r="A22" t="s">
        <v>191</v>
      </c>
      <c r="B22">
        <v>43958</v>
      </c>
      <c r="C22">
        <v>14</v>
      </c>
      <c r="D22">
        <v>4</v>
      </c>
      <c r="E22">
        <v>13</v>
      </c>
      <c r="F22">
        <v>4</v>
      </c>
      <c r="G22">
        <v>43</v>
      </c>
      <c r="H22" s="20">
        <v>52.439024390243901</v>
      </c>
      <c r="J22">
        <v>15</v>
      </c>
      <c r="K22">
        <v>4</v>
      </c>
      <c r="L22">
        <v>14</v>
      </c>
      <c r="M22">
        <v>4</v>
      </c>
      <c r="N22">
        <v>46</v>
      </c>
      <c r="O22" s="20">
        <v>56.097560975609753</v>
      </c>
      <c r="P22" s="6" t="str">
        <f t="shared" si="0"/>
        <v>+</v>
      </c>
      <c r="Q22" s="20">
        <f t="shared" si="1"/>
        <v>56.097560975609753</v>
      </c>
      <c r="R22" s="20">
        <f t="shared" si="2"/>
        <v>-0.16914415507033259</v>
      </c>
      <c r="S22" s="24" t="str">
        <f t="shared" si="3"/>
        <v/>
      </c>
    </row>
    <row r="23" spans="1:19" x14ac:dyDescent="0.2">
      <c r="A23" t="s">
        <v>193</v>
      </c>
      <c r="B23">
        <v>43958</v>
      </c>
      <c r="C23">
        <v>11</v>
      </c>
      <c r="D23">
        <v>5</v>
      </c>
      <c r="E23">
        <v>11</v>
      </c>
      <c r="F23">
        <v>5</v>
      </c>
      <c r="G23">
        <v>38</v>
      </c>
      <c r="H23" s="20">
        <v>46.341463414634148</v>
      </c>
      <c r="J23">
        <v>12</v>
      </c>
      <c r="K23">
        <v>5</v>
      </c>
      <c r="L23">
        <v>12</v>
      </c>
      <c r="M23">
        <v>5</v>
      </c>
      <c r="N23">
        <v>41</v>
      </c>
      <c r="O23" s="20">
        <v>50</v>
      </c>
      <c r="P23" s="6" t="str">
        <f t="shared" si="0"/>
        <v>+</v>
      </c>
      <c r="Q23" s="20">
        <f t="shared" si="1"/>
        <v>50</v>
      </c>
      <c r="R23" s="20">
        <f t="shared" si="2"/>
        <v>-0.51271822005694556</v>
      </c>
      <c r="S23" s="24" t="str">
        <f t="shared" si="3"/>
        <v/>
      </c>
    </row>
    <row r="24" spans="1:19" x14ac:dyDescent="0.2">
      <c r="A24" t="s">
        <v>195</v>
      </c>
      <c r="B24">
        <v>43958</v>
      </c>
      <c r="C24">
        <v>8</v>
      </c>
      <c r="D24">
        <v>4</v>
      </c>
      <c r="E24">
        <v>8</v>
      </c>
      <c r="F24">
        <v>4</v>
      </c>
      <c r="G24">
        <v>28</v>
      </c>
      <c r="H24" s="20">
        <v>34.146341463414636</v>
      </c>
      <c r="J24">
        <v>9</v>
      </c>
      <c r="K24">
        <v>4</v>
      </c>
      <c r="L24">
        <v>9</v>
      </c>
      <c r="M24">
        <v>4</v>
      </c>
      <c r="N24">
        <v>31</v>
      </c>
      <c r="O24" s="20">
        <v>37.804878048780488</v>
      </c>
      <c r="P24" s="6" t="str">
        <f t="shared" si="0"/>
        <v>+</v>
      </c>
      <c r="Q24" s="20">
        <f t="shared" si="1"/>
        <v>37.804878048780488</v>
      </c>
      <c r="R24" s="20">
        <f t="shared" si="2"/>
        <v>-1.1998663500301718</v>
      </c>
      <c r="S24" s="24" t="str">
        <f t="shared" si="3"/>
        <v>X</v>
      </c>
    </row>
    <row r="25" spans="1:19" x14ac:dyDescent="0.2">
      <c r="A25" t="s">
        <v>197</v>
      </c>
      <c r="B25">
        <v>43958</v>
      </c>
      <c r="C25">
        <v>21</v>
      </c>
      <c r="D25">
        <v>8</v>
      </c>
      <c r="E25">
        <v>20</v>
      </c>
      <c r="F25">
        <v>8</v>
      </c>
      <c r="G25">
        <v>68</v>
      </c>
      <c r="H25" s="20">
        <v>82.926829268292678</v>
      </c>
      <c r="J25">
        <v>22</v>
      </c>
      <c r="K25">
        <v>8</v>
      </c>
      <c r="L25">
        <v>21</v>
      </c>
      <c r="M25">
        <v>8</v>
      </c>
      <c r="N25">
        <v>71</v>
      </c>
      <c r="O25" s="20">
        <v>86.58536585365853</v>
      </c>
      <c r="P25" s="6" t="str">
        <f t="shared" si="0"/>
        <v>+</v>
      </c>
      <c r="Q25" s="20">
        <f t="shared" si="1"/>
        <v>86.58536585365853</v>
      </c>
      <c r="R25" s="20">
        <f t="shared" si="2"/>
        <v>1.548726169862733</v>
      </c>
      <c r="S25" s="24" t="str">
        <f t="shared" si="3"/>
        <v/>
      </c>
    </row>
    <row r="26" spans="1:19" x14ac:dyDescent="0.2">
      <c r="A26" t="s">
        <v>199</v>
      </c>
      <c r="B26">
        <v>43958</v>
      </c>
      <c r="C26">
        <v>10</v>
      </c>
      <c r="D26">
        <v>4</v>
      </c>
      <c r="E26">
        <v>9</v>
      </c>
      <c r="F26">
        <v>4</v>
      </c>
      <c r="G26">
        <v>31</v>
      </c>
      <c r="H26" s="20">
        <v>37.804878048780488</v>
      </c>
      <c r="J26">
        <v>9</v>
      </c>
      <c r="K26">
        <v>4</v>
      </c>
      <c r="L26">
        <v>8</v>
      </c>
      <c r="M26">
        <v>4</v>
      </c>
      <c r="N26">
        <v>28</v>
      </c>
      <c r="O26" s="20">
        <v>34.146341463414636</v>
      </c>
      <c r="P26" s="6" t="str">
        <f t="shared" si="0"/>
        <v>-</v>
      </c>
      <c r="Q26" s="20">
        <f t="shared" si="1"/>
        <v>37.804878048780488</v>
      </c>
      <c r="R26" s="20">
        <f t="shared" si="2"/>
        <v>-1.1998663500301718</v>
      </c>
      <c r="S26" s="24" t="str">
        <f t="shared" si="3"/>
        <v>X</v>
      </c>
    </row>
    <row r="27" spans="1:19" x14ac:dyDescent="0.2">
      <c r="A27" t="s">
        <v>201</v>
      </c>
      <c r="B27">
        <v>43957</v>
      </c>
      <c r="C27">
        <v>8</v>
      </c>
      <c r="D27">
        <v>7</v>
      </c>
      <c r="E27">
        <v>8</v>
      </c>
      <c r="F27">
        <v>7</v>
      </c>
      <c r="G27">
        <v>31</v>
      </c>
      <c r="H27" s="20">
        <v>37.804878048780488</v>
      </c>
      <c r="J27">
        <v>8</v>
      </c>
      <c r="K27">
        <v>7</v>
      </c>
      <c r="L27">
        <v>8</v>
      </c>
      <c r="M27">
        <v>7</v>
      </c>
      <c r="N27">
        <v>31</v>
      </c>
      <c r="O27" s="20">
        <v>37.804878048780488</v>
      </c>
      <c r="P27" s="6" t="str">
        <f t="shared" si="0"/>
        <v>X</v>
      </c>
      <c r="Q27" s="20">
        <f t="shared" si="1"/>
        <v>37.804878048780488</v>
      </c>
      <c r="R27" s="20">
        <f t="shared" si="2"/>
        <v>-1.1998663500301718</v>
      </c>
      <c r="S27" s="24" t="str">
        <f t="shared" si="3"/>
        <v>X</v>
      </c>
    </row>
    <row r="28" spans="1:19" x14ac:dyDescent="0.2">
      <c r="A28" t="s">
        <v>203</v>
      </c>
      <c r="B28">
        <v>43958</v>
      </c>
      <c r="C28">
        <v>17</v>
      </c>
      <c r="D28">
        <v>6</v>
      </c>
      <c r="E28">
        <v>16</v>
      </c>
      <c r="F28">
        <v>6</v>
      </c>
      <c r="G28">
        <v>54</v>
      </c>
      <c r="H28" s="20">
        <v>65.853658536585371</v>
      </c>
      <c r="J28">
        <v>18</v>
      </c>
      <c r="K28">
        <v>6</v>
      </c>
      <c r="L28">
        <v>17</v>
      </c>
      <c r="M28">
        <v>6</v>
      </c>
      <c r="N28">
        <v>57</v>
      </c>
      <c r="O28" s="20">
        <v>69.512195121951223</v>
      </c>
      <c r="P28" s="6" t="str">
        <f t="shared" si="0"/>
        <v>+</v>
      </c>
      <c r="Q28" s="20">
        <f t="shared" si="1"/>
        <v>69.512195121951223</v>
      </c>
      <c r="R28" s="20">
        <f t="shared" si="2"/>
        <v>0.5867187879002167</v>
      </c>
      <c r="S28" s="24" t="str">
        <f t="shared" si="3"/>
        <v/>
      </c>
    </row>
    <row r="29" spans="1:19" x14ac:dyDescent="0.2">
      <c r="A29" t="s">
        <v>205</v>
      </c>
      <c r="B29">
        <v>43957</v>
      </c>
      <c r="C29">
        <v>14</v>
      </c>
      <c r="D29">
        <v>5</v>
      </c>
      <c r="E29">
        <v>13</v>
      </c>
      <c r="F29">
        <v>5</v>
      </c>
      <c r="G29">
        <v>44</v>
      </c>
      <c r="H29" s="20">
        <v>53.658536585365852</v>
      </c>
      <c r="J29">
        <v>15</v>
      </c>
      <c r="K29">
        <v>5</v>
      </c>
      <c r="L29">
        <v>14</v>
      </c>
      <c r="M29">
        <v>5</v>
      </c>
      <c r="N29">
        <v>47</v>
      </c>
      <c r="O29" s="20">
        <v>57.31707317073171</v>
      </c>
      <c r="P29" s="6" t="str">
        <f t="shared" si="0"/>
        <v>+</v>
      </c>
      <c r="Q29" s="20">
        <f t="shared" si="1"/>
        <v>57.31707317073171</v>
      </c>
      <c r="R29" s="20">
        <f>(Q29-$Q$56)/$Q$57</f>
        <v>-0.1004293420730096</v>
      </c>
      <c r="S29" s="24" t="str">
        <f t="shared" si="3"/>
        <v/>
      </c>
    </row>
    <row r="30" spans="1:19" x14ac:dyDescent="0.2">
      <c r="A30" t="s">
        <v>207</v>
      </c>
      <c r="B30">
        <v>43958</v>
      </c>
      <c r="C30">
        <v>16</v>
      </c>
      <c r="D30">
        <v>4</v>
      </c>
      <c r="E30">
        <v>15</v>
      </c>
      <c r="F30">
        <v>4</v>
      </c>
      <c r="G30">
        <v>49</v>
      </c>
      <c r="H30" s="20">
        <v>59.756097560975611</v>
      </c>
      <c r="J30">
        <v>17</v>
      </c>
      <c r="K30">
        <v>4</v>
      </c>
      <c r="L30">
        <v>16</v>
      </c>
      <c r="M30">
        <v>4</v>
      </c>
      <c r="N30">
        <v>52</v>
      </c>
      <c r="O30" s="20">
        <v>63.414634146341463</v>
      </c>
      <c r="P30" s="6" t="str">
        <f t="shared" si="0"/>
        <v>+</v>
      </c>
      <c r="Q30" s="20">
        <f t="shared" si="1"/>
        <v>63.414634146341463</v>
      </c>
      <c r="R30" s="20">
        <f t="shared" si="2"/>
        <v>0.24314472291360334</v>
      </c>
      <c r="S30" s="24" t="str">
        <f t="shared" si="3"/>
        <v/>
      </c>
    </row>
    <row r="31" spans="1:19" x14ac:dyDescent="0.2">
      <c r="A31" t="s">
        <v>211</v>
      </c>
      <c r="B31">
        <v>43958</v>
      </c>
      <c r="C31">
        <v>17</v>
      </c>
      <c r="D31">
        <v>7</v>
      </c>
      <c r="E31">
        <v>16</v>
      </c>
      <c r="F31">
        <v>7</v>
      </c>
      <c r="G31">
        <v>55</v>
      </c>
      <c r="H31" s="20">
        <v>67.073170731707322</v>
      </c>
      <c r="J31">
        <v>18</v>
      </c>
      <c r="K31">
        <v>7</v>
      </c>
      <c r="L31">
        <v>17</v>
      </c>
      <c r="M31">
        <v>7</v>
      </c>
      <c r="N31">
        <v>58</v>
      </c>
      <c r="O31" s="20">
        <v>70.731707317073173</v>
      </c>
      <c r="P31" s="6" t="str">
        <f t="shared" si="0"/>
        <v>+</v>
      </c>
      <c r="Q31" s="20">
        <f t="shared" si="1"/>
        <v>70.731707317073173</v>
      </c>
      <c r="R31" s="20">
        <f t="shared" si="2"/>
        <v>0.65543360089753933</v>
      </c>
      <c r="S31" s="24" t="str">
        <f t="shared" si="3"/>
        <v/>
      </c>
    </row>
    <row r="32" spans="1:19" x14ac:dyDescent="0.2">
      <c r="A32" t="s">
        <v>213</v>
      </c>
      <c r="B32">
        <v>43957</v>
      </c>
      <c r="C32">
        <v>12</v>
      </c>
      <c r="D32">
        <v>6</v>
      </c>
      <c r="E32">
        <v>12</v>
      </c>
      <c r="F32">
        <v>6</v>
      </c>
      <c r="G32">
        <v>42</v>
      </c>
      <c r="H32" s="20">
        <v>51.219512195121951</v>
      </c>
      <c r="J32">
        <v>13</v>
      </c>
      <c r="K32">
        <v>6</v>
      </c>
      <c r="L32">
        <v>13</v>
      </c>
      <c r="M32">
        <v>6</v>
      </c>
      <c r="N32">
        <v>45</v>
      </c>
      <c r="O32" s="20">
        <v>54.878048780487802</v>
      </c>
      <c r="P32" s="6" t="str">
        <f t="shared" si="0"/>
        <v>+</v>
      </c>
      <c r="Q32" s="20">
        <f t="shared" si="1"/>
        <v>54.878048780487802</v>
      </c>
      <c r="R32" s="20">
        <f t="shared" si="2"/>
        <v>-0.23785896806765516</v>
      </c>
      <c r="S32" s="24" t="str">
        <f t="shared" si="3"/>
        <v/>
      </c>
    </row>
    <row r="33" spans="1:19" x14ac:dyDescent="0.2">
      <c r="A33" t="s">
        <v>215</v>
      </c>
      <c r="B33">
        <v>43957</v>
      </c>
      <c r="C33">
        <v>12</v>
      </c>
      <c r="D33">
        <v>5</v>
      </c>
      <c r="E33">
        <v>11</v>
      </c>
      <c r="F33">
        <v>5</v>
      </c>
      <c r="G33">
        <v>38</v>
      </c>
      <c r="H33" s="20">
        <v>46.341463414634148</v>
      </c>
      <c r="J33">
        <v>12</v>
      </c>
      <c r="K33">
        <v>5</v>
      </c>
      <c r="L33">
        <v>11</v>
      </c>
      <c r="M33">
        <v>5</v>
      </c>
      <c r="N33">
        <v>38</v>
      </c>
      <c r="O33" s="20">
        <v>46.341463414634148</v>
      </c>
      <c r="P33" s="6" t="str">
        <f t="shared" si="0"/>
        <v/>
      </c>
      <c r="Q33" s="20">
        <f t="shared" si="1"/>
        <v>46.341463414634148</v>
      </c>
      <c r="R33" s="20">
        <f t="shared" si="2"/>
        <v>-0.71886265904891333</v>
      </c>
      <c r="S33" s="24" t="str">
        <f t="shared" si="3"/>
        <v/>
      </c>
    </row>
    <row r="34" spans="1:19" x14ac:dyDescent="0.2">
      <c r="A34" t="s">
        <v>217</v>
      </c>
      <c r="B34">
        <v>43958</v>
      </c>
      <c r="C34">
        <v>18</v>
      </c>
      <c r="D34">
        <v>8</v>
      </c>
      <c r="E34">
        <v>17</v>
      </c>
      <c r="F34">
        <v>8</v>
      </c>
      <c r="G34">
        <v>59</v>
      </c>
      <c r="H34" s="20">
        <v>71.951219512195124</v>
      </c>
      <c r="J34">
        <v>19</v>
      </c>
      <c r="K34">
        <v>8</v>
      </c>
      <c r="L34">
        <v>18</v>
      </c>
      <c r="M34">
        <v>8</v>
      </c>
      <c r="N34">
        <v>62</v>
      </c>
      <c r="O34" s="20">
        <v>75.609756097560975</v>
      </c>
      <c r="P34" s="6" t="str">
        <f t="shared" si="0"/>
        <v>+</v>
      </c>
      <c r="Q34" s="20">
        <f t="shared" si="1"/>
        <v>75.609756097560975</v>
      </c>
      <c r="R34" s="20">
        <f t="shared" si="2"/>
        <v>0.93029285288682961</v>
      </c>
      <c r="S34" s="24" t="str">
        <f t="shared" si="3"/>
        <v/>
      </c>
    </row>
    <row r="35" spans="1:19" x14ac:dyDescent="0.2">
      <c r="A35" t="s">
        <v>219</v>
      </c>
      <c r="B35">
        <v>43958</v>
      </c>
      <c r="C35">
        <v>21</v>
      </c>
      <c r="D35">
        <v>6</v>
      </c>
      <c r="E35">
        <v>20</v>
      </c>
      <c r="F35">
        <v>6</v>
      </c>
      <c r="G35">
        <v>66</v>
      </c>
      <c r="H35" s="20">
        <v>80.487804878048777</v>
      </c>
      <c r="J35">
        <v>20</v>
      </c>
      <c r="K35">
        <v>6</v>
      </c>
      <c r="L35">
        <v>19</v>
      </c>
      <c r="M35">
        <v>6</v>
      </c>
      <c r="N35">
        <v>63</v>
      </c>
      <c r="O35" s="20">
        <v>76.829268292682926</v>
      </c>
      <c r="P35" s="6" t="str">
        <f t="shared" si="0"/>
        <v>-</v>
      </c>
      <c r="Q35" s="20">
        <f t="shared" si="1"/>
        <v>80.487804878048777</v>
      </c>
      <c r="R35" s="20">
        <f t="shared" si="2"/>
        <v>1.20515210487612</v>
      </c>
      <c r="S35" s="24" t="str">
        <f t="shared" si="3"/>
        <v/>
      </c>
    </row>
    <row r="36" spans="1:19" x14ac:dyDescent="0.2">
      <c r="A36" t="s">
        <v>221</v>
      </c>
      <c r="B36">
        <v>43957</v>
      </c>
      <c r="C36">
        <v>16</v>
      </c>
      <c r="D36">
        <v>6</v>
      </c>
      <c r="E36">
        <v>15</v>
      </c>
      <c r="F36">
        <v>6</v>
      </c>
      <c r="G36">
        <v>51</v>
      </c>
      <c r="H36" s="20">
        <v>62.195121951219512</v>
      </c>
      <c r="J36">
        <v>17</v>
      </c>
      <c r="K36">
        <v>6</v>
      </c>
      <c r="L36">
        <v>16</v>
      </c>
      <c r="M36">
        <v>6</v>
      </c>
      <c r="N36">
        <v>54</v>
      </c>
      <c r="O36" s="20">
        <v>65.853658536585371</v>
      </c>
      <c r="P36" s="6" t="str">
        <f t="shared" si="0"/>
        <v>+</v>
      </c>
      <c r="Q36" s="20">
        <f t="shared" si="1"/>
        <v>65.853658536585371</v>
      </c>
      <c r="R36" s="20">
        <f t="shared" si="2"/>
        <v>0.38057434890824893</v>
      </c>
      <c r="S36" s="24" t="str">
        <f t="shared" si="3"/>
        <v/>
      </c>
    </row>
    <row r="37" spans="1:19" x14ac:dyDescent="0.2">
      <c r="A37" t="s">
        <v>223</v>
      </c>
      <c r="B37">
        <v>43957</v>
      </c>
      <c r="C37">
        <v>20</v>
      </c>
      <c r="D37">
        <v>7</v>
      </c>
      <c r="E37">
        <v>19</v>
      </c>
      <c r="F37">
        <v>7</v>
      </c>
      <c r="G37">
        <v>64</v>
      </c>
      <c r="H37" s="20">
        <v>78.048780487804876</v>
      </c>
      <c r="J37">
        <v>19</v>
      </c>
      <c r="K37">
        <v>7</v>
      </c>
      <c r="L37">
        <v>18</v>
      </c>
      <c r="M37">
        <v>7</v>
      </c>
      <c r="N37">
        <v>61</v>
      </c>
      <c r="O37" s="20">
        <v>74.390243902439025</v>
      </c>
      <c r="P37" s="6" t="str">
        <f t="shared" si="0"/>
        <v>-</v>
      </c>
      <c r="Q37" s="20">
        <f t="shared" si="1"/>
        <v>78.048780487804876</v>
      </c>
      <c r="R37" s="20">
        <f t="shared" si="2"/>
        <v>1.0677224788814748</v>
      </c>
      <c r="S37" s="24" t="str">
        <f t="shared" si="3"/>
        <v/>
      </c>
    </row>
    <row r="38" spans="1:19" x14ac:dyDescent="0.2">
      <c r="A38" t="s">
        <v>225</v>
      </c>
      <c r="B38">
        <v>43958</v>
      </c>
      <c r="C38">
        <v>14</v>
      </c>
      <c r="D38">
        <v>7</v>
      </c>
      <c r="E38">
        <v>13</v>
      </c>
      <c r="F38">
        <v>7</v>
      </c>
      <c r="G38">
        <v>46</v>
      </c>
      <c r="H38" s="20">
        <v>56.097560975609753</v>
      </c>
      <c r="J38">
        <v>15</v>
      </c>
      <c r="K38">
        <v>7</v>
      </c>
      <c r="L38">
        <v>14</v>
      </c>
      <c r="M38">
        <v>7</v>
      </c>
      <c r="N38">
        <v>49</v>
      </c>
      <c r="O38" s="20">
        <v>59.756097560975611</v>
      </c>
      <c r="P38" s="6" t="str">
        <f t="shared" si="0"/>
        <v>+</v>
      </c>
      <c r="Q38" s="20">
        <f t="shared" si="1"/>
        <v>59.756097560975611</v>
      </c>
      <c r="R38" s="20">
        <f t="shared" si="2"/>
        <v>3.7000283921635582E-2</v>
      </c>
      <c r="S38" s="24" t="str">
        <f t="shared" si="3"/>
        <v/>
      </c>
    </row>
    <row r="39" spans="1:19" x14ac:dyDescent="0.2">
      <c r="A39" t="s">
        <v>227</v>
      </c>
      <c r="B39">
        <v>43957</v>
      </c>
      <c r="C39">
        <v>12</v>
      </c>
      <c r="D39">
        <v>8</v>
      </c>
      <c r="E39">
        <v>12</v>
      </c>
      <c r="F39">
        <v>8</v>
      </c>
      <c r="G39">
        <v>44</v>
      </c>
      <c r="H39" s="20">
        <v>53.658536585365852</v>
      </c>
      <c r="J39">
        <v>13</v>
      </c>
      <c r="K39">
        <v>8</v>
      </c>
      <c r="L39">
        <v>13</v>
      </c>
      <c r="M39">
        <v>8</v>
      </c>
      <c r="N39">
        <v>47</v>
      </c>
      <c r="O39" s="20">
        <v>57.31707317073171</v>
      </c>
      <c r="P39" s="6" t="str">
        <f t="shared" si="0"/>
        <v>+</v>
      </c>
      <c r="Q39" s="20">
        <f t="shared" si="1"/>
        <v>57.31707317073171</v>
      </c>
      <c r="R39" s="20">
        <f t="shared" si="2"/>
        <v>-0.1004293420730096</v>
      </c>
      <c r="S39" s="24" t="str">
        <f t="shared" si="3"/>
        <v/>
      </c>
    </row>
    <row r="40" spans="1:19" x14ac:dyDescent="0.2">
      <c r="A40" t="s">
        <v>229</v>
      </c>
      <c r="B40">
        <v>43957</v>
      </c>
      <c r="C40">
        <v>18</v>
      </c>
      <c r="D40">
        <v>8</v>
      </c>
      <c r="E40">
        <v>17</v>
      </c>
      <c r="F40">
        <v>8</v>
      </c>
      <c r="G40">
        <v>59</v>
      </c>
      <c r="H40" s="20">
        <v>71.951219512195124</v>
      </c>
      <c r="J40">
        <v>17</v>
      </c>
      <c r="K40">
        <v>8</v>
      </c>
      <c r="L40">
        <v>16</v>
      </c>
      <c r="M40">
        <v>8</v>
      </c>
      <c r="N40">
        <v>56</v>
      </c>
      <c r="O40" s="20">
        <v>68.292682926829272</v>
      </c>
      <c r="P40" s="6" t="str">
        <f t="shared" si="0"/>
        <v>-</v>
      </c>
      <c r="Q40" s="20">
        <f t="shared" si="1"/>
        <v>71.951219512195124</v>
      </c>
      <c r="R40" s="20">
        <f t="shared" si="2"/>
        <v>0.72414841389486184</v>
      </c>
      <c r="S40" s="24" t="str">
        <f t="shared" si="3"/>
        <v/>
      </c>
    </row>
    <row r="41" spans="1:19" x14ac:dyDescent="0.2">
      <c r="A41" t="s">
        <v>231</v>
      </c>
      <c r="B41">
        <v>43958</v>
      </c>
      <c r="C41">
        <v>10</v>
      </c>
      <c r="D41">
        <v>4</v>
      </c>
      <c r="E41">
        <v>9</v>
      </c>
      <c r="F41">
        <v>4</v>
      </c>
      <c r="G41">
        <v>31</v>
      </c>
      <c r="H41" s="20">
        <v>37.804878048780488</v>
      </c>
      <c r="J41">
        <v>11</v>
      </c>
      <c r="K41">
        <v>4</v>
      </c>
      <c r="L41">
        <v>10</v>
      </c>
      <c r="M41">
        <v>4</v>
      </c>
      <c r="N41">
        <v>34</v>
      </c>
      <c r="O41" s="20">
        <v>41.463414634146339</v>
      </c>
      <c r="P41" s="6" t="str">
        <f t="shared" si="0"/>
        <v>+</v>
      </c>
      <c r="Q41" s="20">
        <f t="shared" si="1"/>
        <v>41.463414634146339</v>
      </c>
      <c r="R41" s="20">
        <f t="shared" si="2"/>
        <v>-0.99372191103820406</v>
      </c>
      <c r="S41" s="24" t="str">
        <f t="shared" si="3"/>
        <v/>
      </c>
    </row>
    <row r="42" spans="1:19" x14ac:dyDescent="0.2">
      <c r="A42" t="s">
        <v>233</v>
      </c>
      <c r="B42">
        <v>43957</v>
      </c>
      <c r="C42">
        <v>17</v>
      </c>
      <c r="D42">
        <v>8</v>
      </c>
      <c r="E42">
        <v>17</v>
      </c>
      <c r="F42">
        <v>8</v>
      </c>
      <c r="G42">
        <v>59</v>
      </c>
      <c r="H42" s="20">
        <v>71.951219512195124</v>
      </c>
      <c r="J42">
        <v>16</v>
      </c>
      <c r="K42">
        <v>8</v>
      </c>
      <c r="L42">
        <v>16</v>
      </c>
      <c r="M42">
        <v>8</v>
      </c>
      <c r="N42">
        <v>56</v>
      </c>
      <c r="O42" s="20">
        <v>68.292682926829272</v>
      </c>
      <c r="P42" s="6" t="str">
        <f t="shared" si="0"/>
        <v>-</v>
      </c>
      <c r="Q42" s="20">
        <f t="shared" si="1"/>
        <v>71.951219512195124</v>
      </c>
      <c r="R42" s="20">
        <f t="shared" si="2"/>
        <v>0.72414841389486184</v>
      </c>
      <c r="S42" s="24" t="str">
        <f t="shared" si="3"/>
        <v/>
      </c>
    </row>
    <row r="43" spans="1:19" x14ac:dyDescent="0.2">
      <c r="A43" t="s">
        <v>235</v>
      </c>
      <c r="B43">
        <v>43958</v>
      </c>
      <c r="C43">
        <v>17</v>
      </c>
      <c r="D43">
        <v>6</v>
      </c>
      <c r="E43">
        <v>16</v>
      </c>
      <c r="F43">
        <v>6</v>
      </c>
      <c r="G43">
        <v>54</v>
      </c>
      <c r="H43" s="20">
        <v>65.853658536585371</v>
      </c>
      <c r="J43">
        <v>18</v>
      </c>
      <c r="K43">
        <v>6</v>
      </c>
      <c r="L43">
        <v>17</v>
      </c>
      <c r="M43">
        <v>6</v>
      </c>
      <c r="N43">
        <v>57</v>
      </c>
      <c r="O43" s="20">
        <v>69.512195121951223</v>
      </c>
      <c r="P43" s="6" t="str">
        <f t="shared" si="0"/>
        <v>+</v>
      </c>
      <c r="Q43" s="20">
        <f t="shared" si="1"/>
        <v>69.512195121951223</v>
      </c>
      <c r="R43" s="20">
        <f t="shared" si="2"/>
        <v>0.5867187879002167</v>
      </c>
      <c r="S43" s="24" t="str">
        <f t="shared" si="3"/>
        <v/>
      </c>
    </row>
    <row r="44" spans="1:19" x14ac:dyDescent="0.2">
      <c r="A44" t="s">
        <v>237</v>
      </c>
      <c r="B44">
        <v>43958</v>
      </c>
      <c r="C44">
        <v>17</v>
      </c>
      <c r="D44">
        <v>7</v>
      </c>
      <c r="E44">
        <v>16</v>
      </c>
      <c r="F44">
        <v>7</v>
      </c>
      <c r="G44">
        <v>55</v>
      </c>
      <c r="H44" s="20">
        <v>67.073170731707322</v>
      </c>
      <c r="J44">
        <v>18</v>
      </c>
      <c r="K44">
        <v>7</v>
      </c>
      <c r="L44">
        <v>17</v>
      </c>
      <c r="M44">
        <v>7</v>
      </c>
      <c r="N44">
        <v>58</v>
      </c>
      <c r="O44" s="20">
        <v>70.731707317073173</v>
      </c>
      <c r="P44" s="6" t="str">
        <f t="shared" si="0"/>
        <v>+</v>
      </c>
      <c r="Q44" s="20">
        <f t="shared" si="1"/>
        <v>70.731707317073173</v>
      </c>
      <c r="R44" s="20">
        <f t="shared" si="2"/>
        <v>0.65543360089753933</v>
      </c>
      <c r="S44" s="24" t="str">
        <f t="shared" si="3"/>
        <v/>
      </c>
    </row>
    <row r="45" spans="1:19" x14ac:dyDescent="0.2">
      <c r="A45" t="s">
        <v>239</v>
      </c>
      <c r="B45">
        <v>43957</v>
      </c>
      <c r="C45">
        <v>2</v>
      </c>
      <c r="D45">
        <v>4</v>
      </c>
      <c r="E45">
        <v>2</v>
      </c>
      <c r="F45">
        <v>4</v>
      </c>
      <c r="G45">
        <v>10</v>
      </c>
      <c r="H45" s="20">
        <v>12.195121951219512</v>
      </c>
      <c r="J45">
        <v>2</v>
      </c>
      <c r="K45">
        <v>4</v>
      </c>
      <c r="L45">
        <v>2</v>
      </c>
      <c r="M45">
        <v>4</v>
      </c>
      <c r="N45">
        <v>10</v>
      </c>
      <c r="O45" s="20">
        <v>12.195121951219512</v>
      </c>
      <c r="P45" s="6" t="str">
        <f t="shared" si="0"/>
        <v>XXX</v>
      </c>
      <c r="Q45" s="20">
        <f t="shared" si="1"/>
        <v>12.195121951219512</v>
      </c>
      <c r="R45" s="20">
        <f t="shared" si="2"/>
        <v>-2.6428774229739469</v>
      </c>
      <c r="S45" s="24" t="str">
        <f t="shared" si="3"/>
        <v>XXX</v>
      </c>
    </row>
    <row r="46" spans="1:19" x14ac:dyDescent="0.2">
      <c r="A46" t="s">
        <v>241</v>
      </c>
      <c r="B46">
        <v>43958</v>
      </c>
      <c r="C46">
        <v>16</v>
      </c>
      <c r="D46">
        <v>8</v>
      </c>
      <c r="E46">
        <v>15</v>
      </c>
      <c r="F46">
        <v>8</v>
      </c>
      <c r="G46">
        <v>53</v>
      </c>
      <c r="H46" s="20">
        <v>64.634146341463421</v>
      </c>
      <c r="J46">
        <v>17</v>
      </c>
      <c r="K46">
        <v>8</v>
      </c>
      <c r="L46">
        <v>16</v>
      </c>
      <c r="M46">
        <v>8</v>
      </c>
      <c r="N46">
        <v>56</v>
      </c>
      <c r="O46" s="20">
        <v>68.292682926829272</v>
      </c>
      <c r="P46" s="6" t="str">
        <f t="shared" si="0"/>
        <v>+</v>
      </c>
      <c r="Q46" s="20">
        <f t="shared" si="1"/>
        <v>68.292682926829272</v>
      </c>
      <c r="R46" s="20">
        <f t="shared" si="2"/>
        <v>0.51800397490289407</v>
      </c>
      <c r="S46" s="24" t="str">
        <f t="shared" si="3"/>
        <v/>
      </c>
    </row>
    <row r="47" spans="1:19" x14ac:dyDescent="0.2">
      <c r="A47" t="s">
        <v>247</v>
      </c>
      <c r="B47">
        <v>43957</v>
      </c>
      <c r="C47">
        <v>15</v>
      </c>
      <c r="D47">
        <v>6</v>
      </c>
      <c r="E47">
        <v>14</v>
      </c>
      <c r="F47">
        <v>6</v>
      </c>
      <c r="G47">
        <v>48</v>
      </c>
      <c r="H47" s="20">
        <v>58.536585365853661</v>
      </c>
      <c r="J47">
        <v>14</v>
      </c>
      <c r="K47">
        <v>6</v>
      </c>
      <c r="L47">
        <v>13</v>
      </c>
      <c r="M47">
        <v>6</v>
      </c>
      <c r="N47">
        <v>45</v>
      </c>
      <c r="O47" s="20">
        <v>54.878048780487802</v>
      </c>
      <c r="P47" s="6" t="str">
        <f t="shared" si="0"/>
        <v>-</v>
      </c>
      <c r="Q47" s="20">
        <f t="shared" si="1"/>
        <v>58.536585365853661</v>
      </c>
      <c r="R47" s="20">
        <f t="shared" si="2"/>
        <v>-3.171452907568701E-2</v>
      </c>
      <c r="S47" s="24" t="str">
        <f t="shared" si="3"/>
        <v/>
      </c>
    </row>
    <row r="48" spans="1:19" x14ac:dyDescent="0.2">
      <c r="A48" t="s">
        <v>249</v>
      </c>
      <c r="B48">
        <v>43957</v>
      </c>
      <c r="C48">
        <v>4</v>
      </c>
      <c r="D48">
        <v>9</v>
      </c>
      <c r="E48">
        <v>4</v>
      </c>
      <c r="F48">
        <v>9</v>
      </c>
      <c r="G48">
        <v>21</v>
      </c>
      <c r="H48" s="20">
        <v>25.609756097560975</v>
      </c>
      <c r="J48">
        <v>4</v>
      </c>
      <c r="K48">
        <v>9</v>
      </c>
      <c r="L48">
        <v>4</v>
      </c>
      <c r="M48">
        <v>9</v>
      </c>
      <c r="N48">
        <v>21</v>
      </c>
      <c r="O48" s="20">
        <v>25.609756097560975</v>
      </c>
      <c r="P48" s="6" t="str">
        <f t="shared" si="0"/>
        <v>XX</v>
      </c>
      <c r="Q48" s="20">
        <f t="shared" si="1"/>
        <v>25.609756097560975</v>
      </c>
      <c r="R48" s="20">
        <f t="shared" si="2"/>
        <v>-1.8870144800033981</v>
      </c>
      <c r="S48" s="24" t="str">
        <f t="shared" si="3"/>
        <v>XX</v>
      </c>
    </row>
    <row r="49" spans="1:19" x14ac:dyDescent="0.2">
      <c r="A49" t="s">
        <v>251</v>
      </c>
      <c r="B49">
        <v>43957</v>
      </c>
      <c r="C49">
        <v>24</v>
      </c>
      <c r="D49">
        <v>9</v>
      </c>
      <c r="E49">
        <v>23</v>
      </c>
      <c r="F49">
        <v>9</v>
      </c>
      <c r="G49">
        <v>78</v>
      </c>
      <c r="H49" s="20">
        <v>95.121951219512198</v>
      </c>
      <c r="J49">
        <v>25</v>
      </c>
      <c r="K49">
        <v>9</v>
      </c>
      <c r="L49">
        <v>24</v>
      </c>
      <c r="M49">
        <v>9</v>
      </c>
      <c r="N49">
        <v>81</v>
      </c>
      <c r="O49" s="20">
        <v>98.780487804878049</v>
      </c>
      <c r="P49" s="6" t="str">
        <f t="shared" si="0"/>
        <v>+</v>
      </c>
      <c r="Q49" s="20">
        <f t="shared" si="1"/>
        <v>98.780487804878049</v>
      </c>
      <c r="R49" s="20">
        <f t="shared" si="2"/>
        <v>2.2358742998359595</v>
      </c>
      <c r="S49" s="24" t="str">
        <f t="shared" si="3"/>
        <v/>
      </c>
    </row>
    <row r="50" spans="1:19" x14ac:dyDescent="0.2">
      <c r="A50" t="s">
        <v>253</v>
      </c>
      <c r="B50">
        <v>43957</v>
      </c>
      <c r="C50">
        <v>14</v>
      </c>
      <c r="D50">
        <v>8</v>
      </c>
      <c r="E50">
        <v>14</v>
      </c>
      <c r="F50">
        <v>8</v>
      </c>
      <c r="G50">
        <v>50</v>
      </c>
      <c r="H50" s="20">
        <v>60.975609756097562</v>
      </c>
      <c r="J50">
        <v>15</v>
      </c>
      <c r="K50">
        <v>8</v>
      </c>
      <c r="L50">
        <v>15</v>
      </c>
      <c r="M50">
        <v>8</v>
      </c>
      <c r="N50">
        <v>53</v>
      </c>
      <c r="O50" s="20">
        <v>64.634146341463421</v>
      </c>
      <c r="P50" s="6" t="str">
        <f t="shared" si="0"/>
        <v>+</v>
      </c>
      <c r="Q50" s="20">
        <f t="shared" si="1"/>
        <v>64.634146341463421</v>
      </c>
      <c r="R50" s="20">
        <f t="shared" si="2"/>
        <v>0.31185953591092636</v>
      </c>
      <c r="S50" s="24" t="str">
        <f t="shared" si="3"/>
        <v/>
      </c>
    </row>
    <row r="51" spans="1:19" x14ac:dyDescent="0.2">
      <c r="A51" t="s">
        <v>257</v>
      </c>
      <c r="B51">
        <v>43957</v>
      </c>
      <c r="C51">
        <v>8</v>
      </c>
      <c r="D51">
        <v>5</v>
      </c>
      <c r="E51">
        <v>8</v>
      </c>
      <c r="F51">
        <v>5</v>
      </c>
      <c r="G51">
        <v>29</v>
      </c>
      <c r="H51" s="20">
        <v>35.365853658536587</v>
      </c>
      <c r="J51">
        <v>8</v>
      </c>
      <c r="K51">
        <v>5</v>
      </c>
      <c r="L51">
        <v>8</v>
      </c>
      <c r="M51">
        <v>5</v>
      </c>
      <c r="N51">
        <v>29</v>
      </c>
      <c r="O51" s="20">
        <v>35.365853658536587</v>
      </c>
      <c r="P51" s="6" t="str">
        <f t="shared" si="0"/>
        <v>X</v>
      </c>
      <c r="Q51" s="20">
        <f t="shared" si="1"/>
        <v>35.365853658536587</v>
      </c>
      <c r="R51" s="20">
        <f t="shared" si="2"/>
        <v>-1.3372959760248171</v>
      </c>
      <c r="S51" s="24" t="str">
        <f t="shared" si="3"/>
        <v>X</v>
      </c>
    </row>
    <row r="52" spans="1:19" x14ac:dyDescent="0.2">
      <c r="A52" t="s">
        <v>259</v>
      </c>
      <c r="B52">
        <v>43957</v>
      </c>
      <c r="C52">
        <v>11</v>
      </c>
      <c r="D52">
        <v>6</v>
      </c>
      <c r="E52">
        <v>10</v>
      </c>
      <c r="F52">
        <v>6</v>
      </c>
      <c r="G52">
        <v>36</v>
      </c>
      <c r="H52" s="20">
        <v>43.902439024390247</v>
      </c>
      <c r="J52">
        <v>11</v>
      </c>
      <c r="K52">
        <v>6</v>
      </c>
      <c r="L52">
        <v>10</v>
      </c>
      <c r="M52">
        <v>6</v>
      </c>
      <c r="N52">
        <v>36</v>
      </c>
      <c r="O52" s="20">
        <v>43.902439024390247</v>
      </c>
      <c r="P52" s="6" t="str">
        <f t="shared" si="0"/>
        <v/>
      </c>
      <c r="Q52" s="20">
        <f t="shared" si="1"/>
        <v>43.902439024390247</v>
      </c>
      <c r="R52" s="20">
        <f t="shared" si="2"/>
        <v>-0.85629228504355848</v>
      </c>
      <c r="S52" s="24" t="str">
        <f t="shared" si="3"/>
        <v/>
      </c>
    </row>
    <row r="53" spans="1:19" x14ac:dyDescent="0.2">
      <c r="A53" t="s">
        <v>261</v>
      </c>
      <c r="B53">
        <v>43958</v>
      </c>
      <c r="C53">
        <v>20</v>
      </c>
      <c r="D53">
        <v>7</v>
      </c>
      <c r="E53">
        <v>19</v>
      </c>
      <c r="F53">
        <v>7</v>
      </c>
      <c r="G53">
        <v>64</v>
      </c>
      <c r="H53" s="20">
        <v>78.048780487804876</v>
      </c>
      <c r="J53">
        <v>19</v>
      </c>
      <c r="K53">
        <v>7</v>
      </c>
      <c r="L53">
        <v>18</v>
      </c>
      <c r="M53">
        <v>7</v>
      </c>
      <c r="N53">
        <v>61</v>
      </c>
      <c r="O53" s="20">
        <v>74.390243902439025</v>
      </c>
      <c r="P53" s="6" t="str">
        <f t="shared" si="0"/>
        <v>-</v>
      </c>
      <c r="Q53" s="20">
        <f t="shared" si="1"/>
        <v>78.048780487804876</v>
      </c>
      <c r="R53" s="20">
        <f t="shared" si="2"/>
        <v>1.0677224788814748</v>
      </c>
      <c r="S53" s="24" t="str">
        <f t="shared" si="3"/>
        <v/>
      </c>
    </row>
    <row r="54" spans="1:19" x14ac:dyDescent="0.2">
      <c r="A54" t="s">
        <v>263</v>
      </c>
      <c r="B54">
        <v>43958</v>
      </c>
      <c r="C54">
        <v>16</v>
      </c>
      <c r="D54">
        <v>2</v>
      </c>
      <c r="E54">
        <v>15</v>
      </c>
      <c r="F54">
        <v>2</v>
      </c>
      <c r="G54">
        <v>47</v>
      </c>
      <c r="H54" s="20">
        <v>57.31707317073171</v>
      </c>
      <c r="J54">
        <v>17</v>
      </c>
      <c r="K54">
        <v>2</v>
      </c>
      <c r="L54">
        <v>16</v>
      </c>
      <c r="M54">
        <v>2</v>
      </c>
      <c r="N54">
        <v>50</v>
      </c>
      <c r="O54" s="20">
        <v>60.975609756097562</v>
      </c>
      <c r="P54" s="6" t="str">
        <f t="shared" si="0"/>
        <v>+</v>
      </c>
      <c r="Q54" s="20">
        <f t="shared" si="1"/>
        <v>60.975609756097562</v>
      </c>
      <c r="R54" s="20">
        <f t="shared" si="2"/>
        <v>0.10571509691895817</v>
      </c>
      <c r="S54" s="24" t="str">
        <f t="shared" si="3"/>
        <v/>
      </c>
    </row>
    <row r="56" spans="1:19" x14ac:dyDescent="0.2">
      <c r="P56" t="s">
        <v>278</v>
      </c>
      <c r="Q56" s="20">
        <f>AVERAGE(Q3:Q54)</f>
        <v>59.099437148217632</v>
      </c>
    </row>
    <row r="57" spans="1:19" x14ac:dyDescent="0.2">
      <c r="P57" t="s">
        <v>279</v>
      </c>
      <c r="Q57" s="20">
        <f>_xlfn.STDEV.P(Q3:Q54)</f>
        <v>17.74744253716397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3"/>
  <sheetViews>
    <sheetView workbookViewId="0"/>
  </sheetViews>
  <sheetFormatPr defaultColWidth="12.5703125" defaultRowHeight="15.75" customHeight="1" x14ac:dyDescent="0.2"/>
  <cols>
    <col min="1" max="1" width="11" customWidth="1"/>
    <col min="2" max="2" width="65.7109375" customWidth="1"/>
    <col min="3" max="3" width="10.28515625" customWidth="1"/>
    <col min="4" max="4" width="3.140625" customWidth="1"/>
    <col min="5" max="5" width="11.28515625" customWidth="1"/>
    <col min="6" max="6" width="26" customWidth="1"/>
    <col min="7" max="7" width="21.7109375" customWidth="1"/>
  </cols>
  <sheetData>
    <row r="1" spans="1:7" ht="25.5" x14ac:dyDescent="0.2">
      <c r="A1" s="3" t="s">
        <v>0</v>
      </c>
      <c r="B1" s="3" t="s">
        <v>1</v>
      </c>
      <c r="C1" s="3" t="s">
        <v>2</v>
      </c>
      <c r="D1" s="4"/>
      <c r="E1" s="1" t="s">
        <v>97</v>
      </c>
      <c r="F1" s="1" t="s">
        <v>98</v>
      </c>
      <c r="G1" s="1" t="s">
        <v>96</v>
      </c>
    </row>
    <row r="2" spans="1:7" ht="12.75" x14ac:dyDescent="0.2">
      <c r="A2" s="2">
        <v>1</v>
      </c>
      <c r="B2" s="1" t="s">
        <v>3</v>
      </c>
      <c r="C2" s="2">
        <v>18</v>
      </c>
      <c r="D2" s="4"/>
      <c r="E2" s="2">
        <v>1</v>
      </c>
      <c r="F2" s="1" t="s">
        <v>95</v>
      </c>
      <c r="G2" s="1" t="s">
        <v>94</v>
      </c>
    </row>
    <row r="3" spans="1:7" ht="12.75" x14ac:dyDescent="0.2">
      <c r="A3" s="2">
        <v>2</v>
      </c>
      <c r="B3" s="1" t="s">
        <v>4</v>
      </c>
      <c r="C3" s="2">
        <v>1</v>
      </c>
      <c r="D3" s="4"/>
      <c r="E3" s="2">
        <v>2</v>
      </c>
      <c r="F3" s="1" t="s">
        <v>93</v>
      </c>
      <c r="G3" s="1" t="s">
        <v>92</v>
      </c>
    </row>
    <row r="4" spans="1:7" ht="12.75" x14ac:dyDescent="0.2">
      <c r="A4" s="2">
        <v>3</v>
      </c>
      <c r="B4" s="1" t="s">
        <v>5</v>
      </c>
      <c r="C4" s="2">
        <v>2</v>
      </c>
      <c r="D4" s="4"/>
      <c r="E4" s="2">
        <v>3</v>
      </c>
      <c r="F4" s="1" t="s">
        <v>91</v>
      </c>
      <c r="G4" s="1" t="s">
        <v>90</v>
      </c>
    </row>
    <row r="5" spans="1:7" ht="12.75" x14ac:dyDescent="0.2">
      <c r="A5" s="2">
        <v>4</v>
      </c>
      <c r="B5" s="1" t="s">
        <v>6</v>
      </c>
      <c r="C5" s="2">
        <v>3</v>
      </c>
      <c r="D5" s="4"/>
      <c r="E5" s="2">
        <v>4</v>
      </c>
      <c r="F5" s="1" t="s">
        <v>89</v>
      </c>
      <c r="G5" s="1" t="s">
        <v>88</v>
      </c>
    </row>
    <row r="6" spans="1:7" ht="12.75" x14ac:dyDescent="0.2">
      <c r="A6" s="2">
        <v>5</v>
      </c>
      <c r="B6" s="1" t="s">
        <v>7</v>
      </c>
      <c r="C6" s="2">
        <v>7</v>
      </c>
      <c r="D6" s="4"/>
      <c r="E6" s="2">
        <v>5</v>
      </c>
      <c r="F6" s="1" t="s">
        <v>87</v>
      </c>
      <c r="G6" s="5" t="s">
        <v>102</v>
      </c>
    </row>
    <row r="7" spans="1:7" ht="12.75" x14ac:dyDescent="0.2">
      <c r="A7" s="2">
        <v>6</v>
      </c>
      <c r="B7" s="1" t="s">
        <v>8</v>
      </c>
      <c r="C7" s="2">
        <v>8</v>
      </c>
      <c r="D7" s="4"/>
      <c r="E7" s="2">
        <v>6</v>
      </c>
      <c r="F7" s="1" t="s">
        <v>86</v>
      </c>
      <c r="G7" s="1" t="s">
        <v>85</v>
      </c>
    </row>
    <row r="8" spans="1:7" ht="12.75" x14ac:dyDescent="0.2">
      <c r="A8" s="2">
        <v>7</v>
      </c>
      <c r="B8" s="1" t="s">
        <v>9</v>
      </c>
      <c r="C8" s="2">
        <v>10</v>
      </c>
      <c r="D8" s="4"/>
      <c r="E8" s="2">
        <v>7</v>
      </c>
      <c r="F8" s="1" t="s">
        <v>84</v>
      </c>
      <c r="G8" s="1" t="s">
        <v>83</v>
      </c>
    </row>
    <row r="9" spans="1:7" ht="12.75" x14ac:dyDescent="0.2">
      <c r="A9" s="2">
        <v>8</v>
      </c>
      <c r="B9" s="1" t="s">
        <v>10</v>
      </c>
      <c r="C9" s="2">
        <v>11</v>
      </c>
      <c r="D9" s="4"/>
      <c r="E9" s="2">
        <v>8</v>
      </c>
      <c r="F9" s="1" t="s">
        <v>82</v>
      </c>
      <c r="G9" s="1" t="s">
        <v>81</v>
      </c>
    </row>
    <row r="10" spans="1:7" ht="12.75" x14ac:dyDescent="0.2">
      <c r="A10" s="2">
        <v>9</v>
      </c>
      <c r="B10" s="1" t="s">
        <v>11</v>
      </c>
      <c r="C10" s="2">
        <v>12</v>
      </c>
      <c r="D10" s="4"/>
      <c r="E10" s="2">
        <v>9</v>
      </c>
      <c r="F10" s="1" t="s">
        <v>80</v>
      </c>
      <c r="G10" s="5" t="s">
        <v>101</v>
      </c>
    </row>
    <row r="11" spans="1:7" ht="12.75" x14ac:dyDescent="0.2">
      <c r="A11" s="2">
        <v>10</v>
      </c>
      <c r="B11" s="1" t="s">
        <v>12</v>
      </c>
      <c r="C11" s="2">
        <v>4</v>
      </c>
      <c r="D11" s="4"/>
      <c r="E11" s="2">
        <v>10</v>
      </c>
      <c r="F11" s="1" t="s">
        <v>79</v>
      </c>
      <c r="G11" s="1" t="s">
        <v>78</v>
      </c>
    </row>
    <row r="12" spans="1:7" ht="12.75" x14ac:dyDescent="0.2">
      <c r="A12" s="2">
        <v>11</v>
      </c>
      <c r="B12" s="1" t="s">
        <v>13</v>
      </c>
      <c r="C12" s="2">
        <v>5</v>
      </c>
      <c r="D12" s="4"/>
      <c r="E12" s="2">
        <v>11</v>
      </c>
      <c r="F12" s="1" t="s">
        <v>77</v>
      </c>
      <c r="G12" s="1" t="s">
        <v>76</v>
      </c>
    </row>
    <row r="13" spans="1:7" ht="12.75" x14ac:dyDescent="0.2">
      <c r="A13" s="2">
        <v>12</v>
      </c>
      <c r="B13" s="1" t="s">
        <v>14</v>
      </c>
      <c r="C13" s="2">
        <v>6</v>
      </c>
      <c r="D13" s="4"/>
      <c r="E13" s="2">
        <v>12</v>
      </c>
      <c r="F13" s="1" t="s">
        <v>75</v>
      </c>
      <c r="G13" s="1" t="s">
        <v>74</v>
      </c>
    </row>
    <row r="14" spans="1:7" ht="12.75" x14ac:dyDescent="0.2">
      <c r="A14" s="2">
        <v>13</v>
      </c>
      <c r="B14" s="1" t="s">
        <v>15</v>
      </c>
      <c r="C14" s="2">
        <v>14</v>
      </c>
      <c r="D14" s="4"/>
      <c r="E14" s="2">
        <v>13</v>
      </c>
      <c r="F14" s="1" t="s">
        <v>73</v>
      </c>
      <c r="G14" s="1" t="s">
        <v>72</v>
      </c>
    </row>
    <row r="15" spans="1:7" ht="12.75" x14ac:dyDescent="0.2">
      <c r="A15" s="2">
        <v>14</v>
      </c>
      <c r="B15" s="1" t="s">
        <v>16</v>
      </c>
      <c r="C15" s="2">
        <v>9</v>
      </c>
      <c r="D15" s="4"/>
      <c r="E15" s="2">
        <v>14</v>
      </c>
      <c r="F15" s="1" t="s">
        <v>71</v>
      </c>
      <c r="G15" s="1" t="s">
        <v>70</v>
      </c>
    </row>
    <row r="16" spans="1:7" ht="12.75" x14ac:dyDescent="0.2">
      <c r="A16" s="2">
        <v>15</v>
      </c>
      <c r="B16" s="1" t="s">
        <v>17</v>
      </c>
      <c r="C16" s="2">
        <v>13</v>
      </c>
      <c r="D16" s="4"/>
      <c r="E16" s="2">
        <v>15</v>
      </c>
      <c r="F16" s="1" t="s">
        <v>69</v>
      </c>
      <c r="G16" s="1" t="s">
        <v>68</v>
      </c>
    </row>
    <row r="17" spans="1:7" ht="12.75" x14ac:dyDescent="0.2">
      <c r="A17" s="2">
        <v>16</v>
      </c>
      <c r="B17" s="1" t="s">
        <v>18</v>
      </c>
      <c r="C17" s="2">
        <v>15</v>
      </c>
      <c r="D17" s="4"/>
      <c r="E17" s="2">
        <v>16</v>
      </c>
      <c r="F17" s="1" t="s">
        <v>67</v>
      </c>
      <c r="G17" s="5" t="s">
        <v>100</v>
      </c>
    </row>
    <row r="18" spans="1:7" ht="12.75" x14ac:dyDescent="0.2">
      <c r="A18" s="2">
        <v>17</v>
      </c>
      <c r="B18" s="1" t="s">
        <v>19</v>
      </c>
      <c r="C18" s="2">
        <v>16</v>
      </c>
      <c r="D18" s="4"/>
      <c r="E18" s="2">
        <v>17</v>
      </c>
      <c r="F18" s="1" t="s">
        <v>66</v>
      </c>
      <c r="G18" s="1" t="s">
        <v>65</v>
      </c>
    </row>
    <row r="19" spans="1:7" ht="12.75" x14ac:dyDescent="0.2">
      <c r="A19" s="2">
        <v>18</v>
      </c>
      <c r="B19" s="1" t="s">
        <v>20</v>
      </c>
      <c r="C19" s="2">
        <v>17</v>
      </c>
      <c r="D19" s="4"/>
      <c r="E19" s="2">
        <v>18</v>
      </c>
      <c r="F19" s="1" t="s">
        <v>64</v>
      </c>
      <c r="G19" s="1" t="s">
        <v>63</v>
      </c>
    </row>
    <row r="20" spans="1:7" ht="12.75" x14ac:dyDescent="0.2">
      <c r="A20" s="2">
        <v>19</v>
      </c>
      <c r="B20" s="1" t="s">
        <v>21</v>
      </c>
      <c r="C20" s="2">
        <v>19</v>
      </c>
      <c r="D20" s="4"/>
      <c r="E20" s="2">
        <v>19</v>
      </c>
      <c r="F20" s="1" t="s">
        <v>62</v>
      </c>
      <c r="G20" s="1" t="s">
        <v>61</v>
      </c>
    </row>
    <row r="21" spans="1:7" ht="12.75" x14ac:dyDescent="0.2">
      <c r="A21" s="2">
        <v>20</v>
      </c>
      <c r="B21" s="1" t="s">
        <v>22</v>
      </c>
      <c r="C21" s="2">
        <v>22</v>
      </c>
      <c r="D21" s="4"/>
      <c r="E21" s="2">
        <v>20</v>
      </c>
      <c r="F21" s="1" t="s">
        <v>60</v>
      </c>
      <c r="G21" s="1" t="s">
        <v>59</v>
      </c>
    </row>
    <row r="22" spans="1:7" ht="12.75" x14ac:dyDescent="0.2">
      <c r="A22" s="2">
        <v>21</v>
      </c>
      <c r="B22" s="1" t="s">
        <v>23</v>
      </c>
      <c r="C22" s="2">
        <v>20</v>
      </c>
      <c r="D22" s="4"/>
      <c r="E22" s="2">
        <v>21</v>
      </c>
      <c r="F22" s="1" t="s">
        <v>58</v>
      </c>
      <c r="G22" s="1" t="s">
        <v>57</v>
      </c>
    </row>
    <row r="23" spans="1:7" ht="12.75" x14ac:dyDescent="0.2">
      <c r="A23" s="2">
        <v>22</v>
      </c>
      <c r="B23" s="1" t="s">
        <v>24</v>
      </c>
      <c r="C23" s="2">
        <v>21</v>
      </c>
      <c r="D23" s="4"/>
      <c r="E23" s="2">
        <v>22</v>
      </c>
      <c r="F23" s="1" t="s">
        <v>103</v>
      </c>
      <c r="G23" s="1" t="s">
        <v>56</v>
      </c>
    </row>
    <row r="24" spans="1:7" ht="12.75" x14ac:dyDescent="0.2">
      <c r="A24" s="2">
        <v>23</v>
      </c>
      <c r="B24" s="1" t="s">
        <v>25</v>
      </c>
      <c r="C24" s="2">
        <v>23</v>
      </c>
      <c r="D24" s="4"/>
      <c r="E24" s="2">
        <v>23</v>
      </c>
      <c r="F24" s="1" t="s">
        <v>55</v>
      </c>
      <c r="G24" s="1" t="s">
        <v>54</v>
      </c>
    </row>
    <row r="25" spans="1:7" ht="12.75" x14ac:dyDescent="0.2">
      <c r="A25" s="2">
        <v>24</v>
      </c>
      <c r="B25" s="1" t="s">
        <v>26</v>
      </c>
      <c r="C25" s="2">
        <v>24</v>
      </c>
      <c r="D25" s="4"/>
      <c r="E25" s="2">
        <v>24</v>
      </c>
      <c r="F25" s="1" t="s">
        <v>53</v>
      </c>
      <c r="G25" s="1" t="s">
        <v>52</v>
      </c>
    </row>
    <row r="26" spans="1:7" ht="12.75" x14ac:dyDescent="0.2">
      <c r="A26" s="2">
        <v>25</v>
      </c>
      <c r="B26" s="1" t="s">
        <v>27</v>
      </c>
      <c r="C26" s="2">
        <v>25</v>
      </c>
      <c r="D26" s="4"/>
      <c r="E26" s="2">
        <v>25</v>
      </c>
      <c r="F26" s="1" t="s">
        <v>51</v>
      </c>
      <c r="G26" s="1" t="s">
        <v>50</v>
      </c>
    </row>
    <row r="27" spans="1:7" ht="12.75" x14ac:dyDescent="0.2">
      <c r="A27" s="2">
        <v>26</v>
      </c>
      <c r="B27" s="1" t="s">
        <v>28</v>
      </c>
      <c r="C27" s="2">
        <v>29</v>
      </c>
      <c r="D27" s="4"/>
      <c r="E27" s="2">
        <v>26</v>
      </c>
      <c r="F27" s="1" t="s">
        <v>41</v>
      </c>
      <c r="G27" s="1" t="s">
        <v>49</v>
      </c>
    </row>
    <row r="28" spans="1:7" ht="12.75" x14ac:dyDescent="0.2">
      <c r="A28" s="2">
        <v>27</v>
      </c>
      <c r="B28" s="1" t="s">
        <v>29</v>
      </c>
      <c r="C28" s="2">
        <v>30</v>
      </c>
      <c r="D28" s="4"/>
      <c r="E28" s="2">
        <v>27</v>
      </c>
      <c r="F28" s="1" t="s">
        <v>41</v>
      </c>
      <c r="G28" s="1" t="s">
        <v>48</v>
      </c>
    </row>
    <row r="29" spans="1:7" ht="12.75" x14ac:dyDescent="0.2">
      <c r="A29" s="2">
        <v>28</v>
      </c>
      <c r="B29" s="1" t="s">
        <v>30</v>
      </c>
      <c r="C29" s="2">
        <v>31</v>
      </c>
      <c r="D29" s="4"/>
      <c r="E29" s="2">
        <v>28</v>
      </c>
      <c r="F29" s="1" t="s">
        <v>41</v>
      </c>
      <c r="G29" s="1" t="s">
        <v>47</v>
      </c>
    </row>
    <row r="30" spans="1:7" ht="12.75" x14ac:dyDescent="0.2">
      <c r="A30" s="2">
        <v>29</v>
      </c>
      <c r="B30" s="1" t="s">
        <v>31</v>
      </c>
      <c r="C30" s="2">
        <v>32</v>
      </c>
      <c r="D30" s="4"/>
      <c r="E30" s="2">
        <v>29</v>
      </c>
      <c r="F30" s="1" t="s">
        <v>39</v>
      </c>
      <c r="G30" s="1" t="s">
        <v>46</v>
      </c>
    </row>
    <row r="31" spans="1:7" ht="12.75" x14ac:dyDescent="0.2">
      <c r="A31" s="2">
        <v>30</v>
      </c>
      <c r="B31" s="1" t="s">
        <v>32</v>
      </c>
      <c r="C31" s="2">
        <v>33</v>
      </c>
      <c r="D31" s="4"/>
      <c r="E31" s="2">
        <v>30</v>
      </c>
      <c r="F31" s="1" t="s">
        <v>39</v>
      </c>
      <c r="G31" s="1" t="s">
        <v>45</v>
      </c>
    </row>
    <row r="32" spans="1:7" ht="12.75" x14ac:dyDescent="0.2">
      <c r="A32" s="2">
        <v>31</v>
      </c>
      <c r="B32" s="1" t="s">
        <v>33</v>
      </c>
      <c r="C32" s="2">
        <v>26</v>
      </c>
      <c r="D32" s="4"/>
      <c r="E32" s="2">
        <v>31</v>
      </c>
      <c r="F32" s="1" t="s">
        <v>41</v>
      </c>
      <c r="G32" s="1" t="s">
        <v>44</v>
      </c>
    </row>
    <row r="33" spans="1:8" ht="12.75" x14ac:dyDescent="0.2">
      <c r="A33" s="2">
        <v>32</v>
      </c>
      <c r="B33" s="1" t="s">
        <v>34</v>
      </c>
      <c r="C33" s="2">
        <v>27</v>
      </c>
      <c r="D33" s="4"/>
      <c r="E33" s="2">
        <v>32</v>
      </c>
      <c r="F33" s="1" t="s">
        <v>39</v>
      </c>
      <c r="G33" s="1" t="s">
        <v>43</v>
      </c>
    </row>
    <row r="34" spans="1:8" ht="12.75" x14ac:dyDescent="0.2">
      <c r="A34" s="2">
        <v>33</v>
      </c>
      <c r="B34" s="1" t="s">
        <v>35</v>
      </c>
      <c r="C34" s="2">
        <v>28</v>
      </c>
      <c r="D34" s="4"/>
      <c r="E34" s="2">
        <v>33</v>
      </c>
      <c r="F34" s="1" t="s">
        <v>39</v>
      </c>
      <c r="G34" s="1" t="s">
        <v>42</v>
      </c>
    </row>
    <row r="35" spans="1:8" ht="12.75" x14ac:dyDescent="0.2">
      <c r="A35" s="2">
        <v>34</v>
      </c>
      <c r="B35" s="1" t="s">
        <v>36</v>
      </c>
      <c r="C35" s="2">
        <v>34</v>
      </c>
      <c r="D35" s="4"/>
      <c r="E35" s="2">
        <v>34</v>
      </c>
      <c r="F35" s="1" t="s">
        <v>41</v>
      </c>
      <c r="G35" s="1" t="s">
        <v>40</v>
      </c>
    </row>
    <row r="36" spans="1:8" ht="12.75" x14ac:dyDescent="0.2">
      <c r="A36" s="2">
        <v>35</v>
      </c>
      <c r="B36" s="1" t="s">
        <v>37</v>
      </c>
      <c r="C36" s="2">
        <v>35</v>
      </c>
      <c r="D36" s="4"/>
      <c r="E36" s="2">
        <v>35</v>
      </c>
      <c r="F36" s="1" t="s">
        <v>39</v>
      </c>
      <c r="G36" s="1" t="s">
        <v>38</v>
      </c>
    </row>
    <row r="38" spans="1:8" ht="15.75" customHeight="1" x14ac:dyDescent="0.2">
      <c r="E38" s="1" t="s">
        <v>97</v>
      </c>
      <c r="F38" s="1" t="s">
        <v>99</v>
      </c>
    </row>
    <row r="39" spans="1:8" ht="15.75" customHeight="1" x14ac:dyDescent="0.2">
      <c r="E39" s="2">
        <v>1</v>
      </c>
      <c r="F39" s="1" t="str">
        <f t="shared" ref="F39:G41" si="0">F3</f>
        <v>a) g</v>
      </c>
      <c r="G39" t="str">
        <f t="shared" si="0"/>
        <v>Mass is a measure of the amount of matter and is correctly expressed in grams (g).</v>
      </c>
    </row>
    <row r="40" spans="1:8" ht="15.75" customHeight="1" x14ac:dyDescent="0.2">
      <c r="E40" s="2">
        <v>2</v>
      </c>
      <c r="F40" s="1" t="str">
        <f t="shared" si="0"/>
        <v>a) ΔHvap​</v>
      </c>
      <c r="G40" t="str">
        <f t="shared" si="0"/>
        <v xml:space="preserve">Boiling is the phase change from liquid to gas (vaporization), and the associated enthalpy change is the enthalpy of vaporization (ΔHvap​). </v>
      </c>
    </row>
    <row r="41" spans="1:8" ht="15.75" customHeight="1" x14ac:dyDescent="0.2">
      <c r="E41" s="2">
        <v>3</v>
      </c>
      <c r="F41" s="1" t="str">
        <f t="shared" si="0"/>
        <v>c) solid</v>
      </c>
      <c r="G41" t="str">
        <f t="shared" si="0"/>
        <v>A solid has both a definite volume and a definite shape.</v>
      </c>
    </row>
    <row r="42" spans="1:8" ht="15.75" customHeight="1" x14ac:dyDescent="0.2">
      <c r="E42" s="2">
        <v>4</v>
      </c>
      <c r="F42" s="1" t="str">
        <f t="shared" ref="F42:G44" si="1">F11</f>
        <v>d) 18</v>
      </c>
      <c r="G42" t="str">
        <f t="shared" si="1"/>
        <v>The total number of valence electrons for the NO2−​ ion  is: Nitrogen (Group 15) has 5 e−. Oxygen (Group 16) has 6 e−. Charge (-1) adds 1 e−. 5+(2×6)+1=∗∗18∗∗ valence electrons.</v>
      </c>
    </row>
    <row r="43" spans="1:8" ht="15.75" customHeight="1" x14ac:dyDescent="0.2">
      <c r="E43" s="2">
        <v>5</v>
      </c>
      <c r="F43" s="1" t="str">
        <f t="shared" si="1"/>
        <v>e) 8</v>
      </c>
      <c r="G43" t="str">
        <f t="shared" si="1"/>
        <v xml:space="preserve">A stable electron configuration, or octet, means the atom is surrounded by 8 valence electrons. </v>
      </c>
      <c r="H43" s="1"/>
    </row>
    <row r="44" spans="1:8" ht="15.75" customHeight="1" x14ac:dyDescent="0.2">
      <c r="E44" s="2">
        <v>6</v>
      </c>
      <c r="F44" s="1" t="str">
        <f t="shared" si="1"/>
        <v>c) The central atom nitrogen has no nonbonding (lone) pairs of electrons</v>
      </c>
      <c r="G44" t="str">
        <f t="shared" si="1"/>
        <v xml:space="preserve">The Lewis structure for NO2−​ shown in the text (though incorrectly drawn as [:O−N=O:]−) or the correct resonance structure [O¨=N¨−O¨:]− both show the central Nitrogen atom with one nonbonding (lone) pair of electrons. Therefore, the statement that it has no lone pairs is FALSE. </v>
      </c>
    </row>
    <row r="45" spans="1:8" ht="15.75" customHeight="1" x14ac:dyDescent="0.2">
      <c r="E45" s="2">
        <v>7</v>
      </c>
      <c r="F45" s="1" t="str">
        <f>F6</f>
        <v>c) 75.0 J</v>
      </c>
      <c r="G45" t="str">
        <f>G6</f>
        <v>Use the heat formula q=m×c×ΔT.   q=(10.0 g)×(0.250 J/(g∘C))×(50∘C−20∘C)    q=(10.0 g)×(0.250 J/(g∘C))×(30∘C)=75.0 J</v>
      </c>
    </row>
    <row r="46" spans="1:8" ht="15.75" customHeight="1" x14ac:dyDescent="0.2">
      <c r="E46" s="2">
        <v>8</v>
      </c>
      <c r="F46" s="1" t="str">
        <f>F7</f>
        <v>d) all the above</v>
      </c>
      <c r="G46" t="str">
        <f>G7</f>
        <v>A Type II ion is a positively charged metal cation  (a transition metal) that can form more than one charge state , and its name in a compound requires a Roman numeral (Stock system).</v>
      </c>
    </row>
    <row r="47" spans="1:8" ht="15.75" customHeight="1" x14ac:dyDescent="0.2">
      <c r="E47" s="2">
        <v>9</v>
      </c>
      <c r="F47" s="1" t="str">
        <f>F15</f>
        <v>c) (nonpolar) covalent</v>
      </c>
      <c r="G47" s="1" t="str">
        <f>G15</f>
        <v xml:space="preserve">A very little difference in electronegativity between atoms results in an even sharing of electrons, forming a nonpolar covalent bond. </v>
      </c>
    </row>
    <row r="48" spans="1:8" ht="15.75" customHeight="1" x14ac:dyDescent="0.2">
      <c r="E48" s="2">
        <v>10</v>
      </c>
      <c r="F48" s="1" t="str">
        <f>F8</f>
        <v>c) A lone pair from one of the oxygen (O) atoms will have to be used to create a double bond with the central nitrogen (N)</v>
      </c>
    </row>
    <row r="49" spans="5:7" ht="15.75" customHeight="1" x14ac:dyDescent="0.2">
      <c r="E49" s="2">
        <v>11</v>
      </c>
      <c r="F49" s="1" t="str">
        <f>F9</f>
        <v>c) 246.5 g/mol</v>
      </c>
      <c r="G49" t="str">
        <f>G9</f>
        <v>The molar mass of MgSO4​⋅7H2​O is calculated by summing the molar masses: Mg+S+(4×O)+7×[(2×H)+O]. 24.31+32.07+(4×16.00)+7×(18.02)≈246.5 g/mol.</v>
      </c>
    </row>
    <row r="50" spans="5:7" ht="15.75" customHeight="1" x14ac:dyDescent="0.2">
      <c r="E50" s="2">
        <v>12</v>
      </c>
      <c r="F50" s="1" t="str">
        <f>F10</f>
        <v>c) 51.16%</v>
      </c>
      <c r="G50" t="str">
        <f>G10</f>
        <v>The mass percentage of water is Molar mass of HydrateMass of 7H2​O​×100%. Mass of 7H2​O=7×18.02 g/mol≈126.14 g/mol.      Mass Percentage=246.5 g/mol126.14 g/mol​×100%≈51.17%   (which matches option c) 51.16%).</v>
      </c>
    </row>
    <row r="51" spans="5:7" ht="15.75" customHeight="1" x14ac:dyDescent="0.2">
      <c r="E51" s="2">
        <v>13</v>
      </c>
      <c r="F51" s="1" t="str">
        <f>F16</f>
        <v>d) molecular</v>
      </c>
      <c r="G51" t="str">
        <f>G16</f>
        <v xml:space="preserve">H2​O (ice), CO2​ (dry ice), and I2​ are all formed from distinct, neutral molecules held together by intermolecular forces (H-bonding, LDF). This makes them molecular solids. </v>
      </c>
    </row>
    <row r="52" spans="5:7" ht="15.75" customHeight="1" x14ac:dyDescent="0.2">
      <c r="E52" s="2">
        <v>14</v>
      </c>
      <c r="F52" s="1" t="str">
        <f>F14</f>
        <v>c) trigonal pyramidal</v>
      </c>
      <c r="G52" t="str">
        <f>G14</f>
        <v>NH3​ has a central N atom with three bonding pairs (to H atoms) and one nonbonding (lone) pair of electrons. This AX3​E configuration results in a trigonal pyramidal molecular geometry.</v>
      </c>
    </row>
    <row r="53" spans="5:7" ht="15.75" customHeight="1" x14ac:dyDescent="0.2">
      <c r="E53" s="2">
        <v>15</v>
      </c>
      <c r="F53" s="1" t="str">
        <f t="shared" ref="F53:G55" si="2">F17</f>
        <v>c) 274 K</v>
      </c>
      <c r="G53" t="str">
        <f t="shared" si="2"/>
        <v>To convert from Celsius to Kelvin, use the formula K=∘C+273.15.  K=1∘C+273≈274 K</v>
      </c>
    </row>
    <row r="54" spans="5:7" ht="15.75" customHeight="1" x14ac:dyDescent="0.2">
      <c r="E54" s="2">
        <v>16</v>
      </c>
      <c r="F54" s="1" t="str">
        <f t="shared" si="2"/>
        <v>a) ionic</v>
      </c>
      <c r="G54" t="str">
        <f t="shared" si="2"/>
        <v>The largest difference in electronegativity  (like between the metal Cs and the nonmetal F) results in a transfer of electrons and the formation of an ionic bond.</v>
      </c>
    </row>
    <row r="55" spans="5:7" ht="15.75" customHeight="1" x14ac:dyDescent="0.2">
      <c r="E55" s="2">
        <v>17</v>
      </c>
      <c r="F55" s="1" t="str">
        <f t="shared" si="2"/>
        <v>b) 2 mol</v>
      </c>
      <c r="G55" t="str">
        <f t="shared" si="2"/>
        <v xml:space="preserve">Avogadro's Number (6.022×1023) is defined as the number of particles in one mole. If you have two (2) times Avogadro's Number of particles, you have 2 moles. </v>
      </c>
    </row>
    <row r="56" spans="5:7" ht="15.75" customHeight="1" x14ac:dyDescent="0.2">
      <c r="E56" s="2">
        <v>18</v>
      </c>
      <c r="F56" s="1" t="str">
        <f>F2</f>
        <v>b) H-B&gt;D-D&gt;LDF</v>
      </c>
      <c r="G56" t="str">
        <f>G2</f>
        <v xml:space="preserve">The order of strength is: Hydrogen Bonding (H-B, strongest) &gt; Dipole-Dipole (D-D, intermediate) &gt; London Dispersion Forces (LDF, weakest). </v>
      </c>
    </row>
    <row r="57" spans="5:7" ht="15.75" customHeight="1" x14ac:dyDescent="0.2">
      <c r="E57" s="2">
        <v>19</v>
      </c>
      <c r="F57" s="1" t="str">
        <f>F20</f>
        <v>b) elemental analysis</v>
      </c>
      <c r="G57" t="str">
        <f>G20</f>
        <v xml:space="preserve">Elemental analysis is the laboratory procedure used to determine the mass percent of each element in a compound, which is the key information needed to calculate the empirical formula. </v>
      </c>
    </row>
    <row r="58" spans="5:7" ht="15.75" customHeight="1" x14ac:dyDescent="0.2">
      <c r="E58" s="2">
        <v>20</v>
      </c>
      <c r="F58" s="1" t="str">
        <f>F22</f>
        <v>c) iron(III) oxide</v>
      </c>
      <c r="G58" t="str">
        <f>G22</f>
        <v xml:space="preserve">Oxygen always has a charge of −2. The total negative charge is 3×(−2)=−6. To balance this, the two iron (Fe) atoms must have a total charge of +6, so each Fe must be Fe3+. This is named iron(III) oxide. </v>
      </c>
    </row>
    <row r="59" spans="5:7" ht="15.75" customHeight="1" x14ac:dyDescent="0.2">
      <c r="E59" s="2">
        <v>21</v>
      </c>
      <c r="F59" s="1" t="s">
        <v>103</v>
      </c>
      <c r="G59" t="str">
        <f>G23</f>
        <v>The prefix "dinitrogen" means 2 nitrogen atoms (N2​). The prefix "tetrachloride" means 4 chlorine atoms (Cl4​). The correct formula should be N2​Cl4​. Since this is not an option, and N2​Cl2​ is listed as an option, this suggests a likely typo in the question or options. Assuming the question meant dinitrogen dichloride, the answer would be N2​Cl2​. If the question name is strictly correct (N2​Cl4​), a correct option is missing. Given the choices, b) N2​Cl2​ is the most plausible intended answer structure if an error occurred in either the name or options.</v>
      </c>
    </row>
    <row r="60" spans="5:7" ht="15.75" customHeight="1" x14ac:dyDescent="0.2">
      <c r="E60" s="2">
        <v>22</v>
      </c>
      <c r="F60" s="1" t="str">
        <f>F21</f>
        <v>d) dipole-dipole interaction</v>
      </c>
      <c r="G60" t="str">
        <f>G21</f>
        <v xml:space="preserve">A dipole-dipole interaction is an electrostatic force between molecules that have a permanent partial positive charge (δ+) on one end and a partial negative charge (δ−) on the other, meaning they have a permanent dipole moment. </v>
      </c>
    </row>
    <row r="61" spans="5:7" ht="15.75" customHeight="1" x14ac:dyDescent="0.2">
      <c r="E61" s="2">
        <v>23</v>
      </c>
      <c r="F61" s="1" t="str">
        <f t="shared" ref="F61:G63" si="3">F24</f>
        <v>c) 40.08 g</v>
      </c>
      <c r="G61" t="str">
        <f t="shared" si="3"/>
        <v xml:space="preserve">The molar mass of calcium (Ca) is 40.08 g/mol. Since 6.022×1023 atoms is the definition of 1 mole, then 1 mol of Ca has a mass equal to its molar mass. </v>
      </c>
    </row>
    <row r="62" spans="5:7" ht="15.75" customHeight="1" x14ac:dyDescent="0.2">
      <c r="E62" s="2">
        <v>24</v>
      </c>
      <c r="F62" s="1" t="str">
        <f t="shared" si="3"/>
        <v>d) both (b) and (c)</v>
      </c>
      <c r="G62" t="str">
        <f t="shared" si="3"/>
        <v>Group 2 elements are the alkaline earth metals. Both Calcium (Ca) and Magnesium (Mg)  are in Group 2. Sodium (Na) is in Group 1.</v>
      </c>
    </row>
    <row r="63" spans="5:7" ht="15.75" customHeight="1" x14ac:dyDescent="0.2">
      <c r="E63" s="2">
        <v>25</v>
      </c>
      <c r="F63" s="1" t="str">
        <f t="shared" si="3"/>
        <v>b) The difference in electronegativity between O and H atoms enables hydrogen bonding</v>
      </c>
      <c r="G63" t="str">
        <f t="shared" si="3"/>
        <v xml:space="preserve">Hydrogen bonding is a special, strong dipole-dipole force enabled by the large electronegativity difference between H and highly electronegative atoms like O, N, or F. </v>
      </c>
    </row>
    <row r="64" spans="5:7" ht="15.75" customHeight="1" x14ac:dyDescent="0.2">
      <c r="E64" s="2">
        <v>26</v>
      </c>
      <c r="F64" s="1" t="str">
        <f t="shared" ref="F64:G66" si="4">F32</f>
        <v>a) true</v>
      </c>
      <c r="G64" t="str">
        <f t="shared" si="4"/>
        <v>The accepted average atomic mass (molar mass) of Beryllium (Be) on the periodic table is approximately 9.012 g/mol.</v>
      </c>
    </row>
    <row r="65" spans="5:7" ht="15.75" customHeight="1" x14ac:dyDescent="0.2">
      <c r="E65" s="2">
        <v>27</v>
      </c>
      <c r="F65" s="1" t="str">
        <f t="shared" si="4"/>
        <v>b) false</v>
      </c>
      <c r="G65" t="str">
        <f t="shared" si="4"/>
        <v>Equal moles of any two substances contain an equal number of molecules (Avogadro's Law). 0.50 mol of CO2​ has the exact same number of molecules as 0.50 mol of SO2​.</v>
      </c>
    </row>
    <row r="66" spans="5:7" ht="15.75" customHeight="1" x14ac:dyDescent="0.2">
      <c r="E66" s="2">
        <v>28</v>
      </c>
      <c r="F66" s="1" t="str">
        <f t="shared" si="4"/>
        <v>b) false</v>
      </c>
      <c r="G66" t="str">
        <f t="shared" si="4"/>
        <v xml:space="preserve">A formula unit is the basic, neutral grouping of ions in an ionic compound (a concept), not a unit of mass. Mass is measured in grams (g). </v>
      </c>
    </row>
    <row r="67" spans="5:7" ht="15.75" customHeight="1" x14ac:dyDescent="0.2">
      <c r="E67" s="2">
        <v>29</v>
      </c>
      <c r="F67" s="1" t="str">
        <f t="shared" ref="F67:G70" si="5">F27</f>
        <v>a) true</v>
      </c>
      <c r="G67" t="str">
        <f t="shared" si="5"/>
        <v xml:space="preserve">One mole of any element or compound contains the exact same number of particles: Avogadro's Number (6.022×1023). Therefore, 1 mol of Na atoms and 1 mol of K atoms contain the equal numbers of atoms. </v>
      </c>
    </row>
    <row r="68" spans="5:7" ht="15.75" customHeight="1" x14ac:dyDescent="0.2">
      <c r="E68" s="2">
        <v>30</v>
      </c>
      <c r="F68" s="1" t="str">
        <f t="shared" si="5"/>
        <v>a) true</v>
      </c>
      <c r="G68" t="str">
        <f t="shared" si="5"/>
        <v>Kinetic energy is the energy of motion and is mathematically related to mass and velocity (KE=21​mv2).</v>
      </c>
    </row>
    <row r="69" spans="5:7" ht="15.75" customHeight="1" x14ac:dyDescent="0.2">
      <c r="E69" s="2">
        <v>31</v>
      </c>
      <c r="F69" s="1" t="str">
        <f t="shared" si="5"/>
        <v>a) true</v>
      </c>
      <c r="G69" t="str">
        <f t="shared" si="5"/>
        <v xml:space="preserve">Valence Shell Electron Pair Repulsion (VSEPR) theory is based on the idea that both bonding and nonbonding (lone) pairs of electrons repel each other and arrange themselves in space to minimize this repulsion, which determines the molecular geometry. </v>
      </c>
    </row>
    <row r="70" spans="5:7" ht="15.75" customHeight="1" x14ac:dyDescent="0.2">
      <c r="E70" s="2">
        <v>32</v>
      </c>
      <c r="F70" s="1" t="str">
        <f t="shared" si="5"/>
        <v>b) false</v>
      </c>
      <c r="G70" t="str">
        <f t="shared" si="5"/>
        <v xml:space="preserve">The burning of gasoline releases heat and is therefore an exothermic process, not an endothermic one. </v>
      </c>
    </row>
    <row r="71" spans="5:7" ht="15.75" customHeight="1" x14ac:dyDescent="0.2">
      <c r="E71" s="2">
        <v>33</v>
      </c>
      <c r="F71" s="1" t="str">
        <f>F29</f>
        <v>a) true</v>
      </c>
      <c r="G71" t="str">
        <f>G31</f>
        <v>2.0 moles of H2​ molecules is 2.0×(6.022×1023) molecules. 6.022×1023 molecules is only 1.0 mole.</v>
      </c>
    </row>
    <row r="72" spans="5:7" ht="15.75" customHeight="1" x14ac:dyDescent="0.2">
      <c r="E72" s="2">
        <v>34</v>
      </c>
      <c r="F72" s="1" t="str">
        <f>F35</f>
        <v>a) true</v>
      </c>
      <c r="G72" t="str">
        <f>G35</f>
        <v xml:space="preserve">London Dispersion Forces (LDF) are the weakest intermolecular forces and arise from the temporary, instantaneous, and uneven distribution of electrons, which creates a momentary (or induced) dipole. </v>
      </c>
    </row>
    <row r="73" spans="5:7" ht="15.75" customHeight="1" x14ac:dyDescent="0.2">
      <c r="E73" s="2">
        <v>35</v>
      </c>
      <c r="F73" s="1" t="str">
        <f>F36</f>
        <v>b) false</v>
      </c>
      <c r="G73" t="str">
        <f>G36</f>
        <v>Cesium (Cs) is Group 1 (+1 charge) and Chloride (Cl) is Group 17 (−1 charge). They combine in a 1:1 ratio to form the ionic compound CsCl. The formula Cs2​Cl is incorrect.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C2B6-E81E-4014-BBAB-A216F17AE17F}">
  <dimension ref="A1:I58"/>
  <sheetViews>
    <sheetView workbookViewId="0">
      <selection activeCell="F17" sqref="F17:I17"/>
    </sheetView>
  </sheetViews>
  <sheetFormatPr defaultRowHeight="12.75" x14ac:dyDescent="0.2"/>
  <cols>
    <col min="1" max="1" width="10.85546875" style="6" customWidth="1"/>
    <col min="2" max="2" width="24.5703125" customWidth="1"/>
    <col min="3" max="3" width="9.140625" style="6"/>
    <col min="4" max="4" width="46.42578125" customWidth="1"/>
    <col min="5" max="5" width="7.140625" customWidth="1"/>
    <col min="6" max="6" width="13.7109375" customWidth="1"/>
    <col min="7" max="7" width="26.85546875" customWidth="1"/>
    <col min="9" max="9" width="46.140625" customWidth="1"/>
  </cols>
  <sheetData>
    <row r="1" spans="1:9" x14ac:dyDescent="0.2">
      <c r="A1" s="15" t="s">
        <v>270</v>
      </c>
      <c r="B1" s="16">
        <f>COUNTA(B3:B58)</f>
        <v>56</v>
      </c>
    </row>
    <row r="2" spans="1:9" x14ac:dyDescent="0.2">
      <c r="A2" s="11" t="s">
        <v>146</v>
      </c>
      <c r="B2" s="9" t="s">
        <v>147</v>
      </c>
      <c r="C2" s="13" t="s">
        <v>148</v>
      </c>
      <c r="D2" s="9" t="s">
        <v>152</v>
      </c>
      <c r="F2" s="11" t="s">
        <v>146</v>
      </c>
      <c r="G2" s="9" t="s">
        <v>147</v>
      </c>
      <c r="H2" s="13" t="s">
        <v>148</v>
      </c>
      <c r="I2" s="9" t="s">
        <v>152</v>
      </c>
    </row>
    <row r="3" spans="1:9" x14ac:dyDescent="0.2">
      <c r="A3" s="12">
        <v>694264</v>
      </c>
      <c r="B3" t="s">
        <v>153</v>
      </c>
      <c r="C3" s="6">
        <v>43957</v>
      </c>
      <c r="D3" t="s">
        <v>154</v>
      </c>
      <c r="F3" s="12">
        <v>345856</v>
      </c>
      <c r="G3" t="s">
        <v>205</v>
      </c>
      <c r="H3" s="6">
        <v>43957</v>
      </c>
      <c r="I3" t="s">
        <v>206</v>
      </c>
    </row>
    <row r="4" spans="1:9" x14ac:dyDescent="0.2">
      <c r="A4" s="12">
        <v>873290</v>
      </c>
      <c r="B4" t="s">
        <v>155</v>
      </c>
      <c r="C4" s="6">
        <v>43957</v>
      </c>
      <c r="D4" t="s">
        <v>156</v>
      </c>
      <c r="F4" s="12">
        <v>490011</v>
      </c>
      <c r="G4" t="s">
        <v>179</v>
      </c>
      <c r="H4" s="6">
        <v>43957</v>
      </c>
      <c r="I4" t="s">
        <v>180</v>
      </c>
    </row>
    <row r="5" spans="1:9" ht="14.25" customHeight="1" x14ac:dyDescent="0.2">
      <c r="A5" s="12">
        <v>1016534</v>
      </c>
      <c r="B5" t="s">
        <v>157</v>
      </c>
      <c r="C5" s="6">
        <v>43958</v>
      </c>
      <c r="D5" t="s">
        <v>158</v>
      </c>
      <c r="F5" s="12">
        <v>517817</v>
      </c>
      <c r="G5" t="s">
        <v>255</v>
      </c>
      <c r="H5" s="6">
        <v>43957</v>
      </c>
      <c r="I5" t="s">
        <v>256</v>
      </c>
    </row>
    <row r="6" spans="1:9" x14ac:dyDescent="0.2">
      <c r="A6" s="12">
        <v>1070102</v>
      </c>
      <c r="B6" t="s">
        <v>159</v>
      </c>
      <c r="C6" s="6">
        <v>43958</v>
      </c>
      <c r="D6" t="s">
        <v>160</v>
      </c>
      <c r="F6" s="12">
        <v>523330</v>
      </c>
      <c r="G6" t="s">
        <v>233</v>
      </c>
      <c r="H6" s="6">
        <v>43957</v>
      </c>
      <c r="I6" t="s">
        <v>234</v>
      </c>
    </row>
    <row r="7" spans="1:9" x14ac:dyDescent="0.2">
      <c r="A7" s="12">
        <v>759215</v>
      </c>
      <c r="B7" t="s">
        <v>161</v>
      </c>
      <c r="C7" s="6">
        <v>43958</v>
      </c>
      <c r="D7" t="s">
        <v>162</v>
      </c>
      <c r="F7" s="12">
        <v>547169</v>
      </c>
      <c r="G7" t="s">
        <v>241</v>
      </c>
      <c r="H7" s="6">
        <v>43958</v>
      </c>
      <c r="I7" t="s">
        <v>242</v>
      </c>
    </row>
    <row r="8" spans="1:9" x14ac:dyDescent="0.2">
      <c r="A8" s="12">
        <v>576373</v>
      </c>
      <c r="B8" t="s">
        <v>163</v>
      </c>
      <c r="C8" s="6">
        <v>43957</v>
      </c>
      <c r="D8" t="s">
        <v>164</v>
      </c>
      <c r="F8" s="12">
        <v>574404</v>
      </c>
      <c r="G8" t="s">
        <v>237</v>
      </c>
      <c r="H8" s="6">
        <v>43958</v>
      </c>
      <c r="I8" t="s">
        <v>238</v>
      </c>
    </row>
    <row r="9" spans="1:9" x14ac:dyDescent="0.2">
      <c r="A9" s="12">
        <v>994114</v>
      </c>
      <c r="B9" t="s">
        <v>165</v>
      </c>
      <c r="C9" s="6">
        <v>43957</v>
      </c>
      <c r="D9" t="s">
        <v>166</v>
      </c>
      <c r="F9" s="12">
        <v>576373</v>
      </c>
      <c r="G9" t="s">
        <v>163</v>
      </c>
      <c r="H9" s="6">
        <v>43957</v>
      </c>
      <c r="I9" t="s">
        <v>164</v>
      </c>
    </row>
    <row r="10" spans="1:9" x14ac:dyDescent="0.2">
      <c r="A10" s="12">
        <v>1024952</v>
      </c>
      <c r="B10" t="s">
        <v>167</v>
      </c>
      <c r="C10" s="6">
        <v>43957</v>
      </c>
      <c r="D10" t="s">
        <v>168</v>
      </c>
      <c r="F10" s="12">
        <v>684403</v>
      </c>
      <c r="G10" t="s">
        <v>211</v>
      </c>
      <c r="H10" s="6">
        <v>43958</v>
      </c>
      <c r="I10" t="s">
        <v>212</v>
      </c>
    </row>
    <row r="11" spans="1:9" x14ac:dyDescent="0.2">
      <c r="A11" s="12">
        <v>888543</v>
      </c>
      <c r="B11" t="s">
        <v>169</v>
      </c>
      <c r="C11" s="6">
        <v>43957</v>
      </c>
      <c r="D11" t="s">
        <v>170</v>
      </c>
      <c r="F11" s="12">
        <v>694264</v>
      </c>
      <c r="G11" t="s">
        <v>153</v>
      </c>
      <c r="H11" s="6">
        <v>43957</v>
      </c>
      <c r="I11" t="s">
        <v>154</v>
      </c>
    </row>
    <row r="12" spans="1:9" x14ac:dyDescent="0.2">
      <c r="A12" s="12">
        <v>737921</v>
      </c>
      <c r="B12" t="s">
        <v>171</v>
      </c>
      <c r="C12" s="6">
        <v>43957</v>
      </c>
      <c r="D12" t="s">
        <v>172</v>
      </c>
      <c r="F12" s="12">
        <v>737921</v>
      </c>
      <c r="G12" t="s">
        <v>171</v>
      </c>
      <c r="H12" s="6">
        <v>43957</v>
      </c>
      <c r="I12" t="s">
        <v>172</v>
      </c>
    </row>
    <row r="13" spans="1:9" x14ac:dyDescent="0.2">
      <c r="A13" s="12">
        <v>1039936</v>
      </c>
      <c r="B13" t="s">
        <v>173</v>
      </c>
      <c r="C13" s="6">
        <v>43957</v>
      </c>
      <c r="D13" t="s">
        <v>174</v>
      </c>
      <c r="F13" s="12">
        <v>754151</v>
      </c>
      <c r="G13" t="s">
        <v>263</v>
      </c>
      <c r="H13" s="6">
        <v>43958</v>
      </c>
      <c r="I13" t="s">
        <v>264</v>
      </c>
    </row>
    <row r="14" spans="1:9" x14ac:dyDescent="0.2">
      <c r="A14" s="12">
        <v>790131</v>
      </c>
      <c r="B14" t="s">
        <v>175</v>
      </c>
      <c r="C14" s="6">
        <v>43957</v>
      </c>
      <c r="D14" t="s">
        <v>176</v>
      </c>
      <c r="F14" s="12">
        <v>759215</v>
      </c>
      <c r="G14" t="s">
        <v>161</v>
      </c>
      <c r="H14" s="6">
        <v>43958</v>
      </c>
      <c r="I14" t="s">
        <v>162</v>
      </c>
    </row>
    <row r="15" spans="1:9" x14ac:dyDescent="0.2">
      <c r="A15" s="12">
        <v>778750</v>
      </c>
      <c r="B15" t="s">
        <v>177</v>
      </c>
      <c r="C15" s="6">
        <v>43958</v>
      </c>
      <c r="D15" t="s">
        <v>178</v>
      </c>
      <c r="F15" s="12">
        <v>775232</v>
      </c>
      <c r="G15" t="s">
        <v>257</v>
      </c>
      <c r="H15" s="6">
        <v>43957</v>
      </c>
      <c r="I15" t="s">
        <v>258</v>
      </c>
    </row>
    <row r="16" spans="1:9" x14ac:dyDescent="0.2">
      <c r="A16" s="12">
        <v>490011</v>
      </c>
      <c r="B16" t="s">
        <v>179</v>
      </c>
      <c r="C16" s="6">
        <v>43957</v>
      </c>
      <c r="D16" t="s">
        <v>180</v>
      </c>
      <c r="F16" s="12">
        <v>778750</v>
      </c>
      <c r="G16" t="s">
        <v>177</v>
      </c>
      <c r="H16" s="6">
        <v>43958</v>
      </c>
      <c r="I16" t="s">
        <v>178</v>
      </c>
    </row>
    <row r="17" spans="1:9" x14ac:dyDescent="0.2">
      <c r="A17" s="12">
        <v>1063699</v>
      </c>
      <c r="B17" t="s">
        <v>181</v>
      </c>
      <c r="C17" s="6">
        <v>43958</v>
      </c>
      <c r="D17" t="s">
        <v>182</v>
      </c>
      <c r="F17" s="12">
        <v>790131</v>
      </c>
      <c r="G17" t="s">
        <v>175</v>
      </c>
      <c r="H17" s="6">
        <v>43957</v>
      </c>
      <c r="I17" t="s">
        <v>176</v>
      </c>
    </row>
    <row r="18" spans="1:9" x14ac:dyDescent="0.2">
      <c r="A18" s="12">
        <v>910945</v>
      </c>
      <c r="B18" t="s">
        <v>183</v>
      </c>
      <c r="C18" s="6">
        <v>43958</v>
      </c>
      <c r="D18" t="s">
        <v>184</v>
      </c>
      <c r="F18" s="12">
        <v>792916</v>
      </c>
      <c r="G18" t="s">
        <v>225</v>
      </c>
      <c r="H18" s="6">
        <v>43958</v>
      </c>
      <c r="I18" t="s">
        <v>226</v>
      </c>
    </row>
    <row r="19" spans="1:9" x14ac:dyDescent="0.2">
      <c r="A19" s="12">
        <v>928878</v>
      </c>
      <c r="B19" t="s">
        <v>185</v>
      </c>
      <c r="C19" s="6">
        <v>43958</v>
      </c>
      <c r="D19" t="s">
        <v>186</v>
      </c>
      <c r="F19" s="12">
        <v>808147</v>
      </c>
      <c r="G19" t="s">
        <v>207</v>
      </c>
      <c r="H19" s="6">
        <v>43958</v>
      </c>
      <c r="I19" t="s">
        <v>208</v>
      </c>
    </row>
    <row r="20" spans="1:9" x14ac:dyDescent="0.2">
      <c r="A20" s="12">
        <v>871988</v>
      </c>
      <c r="B20" t="s">
        <v>187</v>
      </c>
      <c r="C20" s="6">
        <v>43957</v>
      </c>
      <c r="D20" t="s">
        <v>188</v>
      </c>
      <c r="F20" s="12">
        <v>833771</v>
      </c>
      <c r="G20" t="s">
        <v>231</v>
      </c>
      <c r="H20" s="6">
        <v>43958</v>
      </c>
      <c r="I20" t="s">
        <v>232</v>
      </c>
    </row>
    <row r="21" spans="1:9" x14ac:dyDescent="0.2">
      <c r="A21" s="12">
        <v>982244</v>
      </c>
      <c r="B21" t="s">
        <v>189</v>
      </c>
      <c r="C21" s="6">
        <v>43958</v>
      </c>
      <c r="D21" t="s">
        <v>190</v>
      </c>
      <c r="F21" s="12">
        <v>871988</v>
      </c>
      <c r="G21" t="s">
        <v>187</v>
      </c>
      <c r="H21" s="6">
        <v>43957</v>
      </c>
      <c r="I21" t="s">
        <v>188</v>
      </c>
    </row>
    <row r="22" spans="1:9" x14ac:dyDescent="0.2">
      <c r="A22" s="12">
        <v>1038679</v>
      </c>
      <c r="B22" t="s">
        <v>191</v>
      </c>
      <c r="C22" s="6">
        <v>43958</v>
      </c>
      <c r="D22" t="s">
        <v>192</v>
      </c>
      <c r="F22" s="12">
        <v>873290</v>
      </c>
      <c r="G22" t="s">
        <v>155</v>
      </c>
      <c r="H22" s="6">
        <v>43957</v>
      </c>
      <c r="I22" t="s">
        <v>156</v>
      </c>
    </row>
    <row r="23" spans="1:9" x14ac:dyDescent="0.2">
      <c r="A23" s="12">
        <v>958268</v>
      </c>
      <c r="B23" t="s">
        <v>193</v>
      </c>
      <c r="C23" s="6">
        <v>43958</v>
      </c>
      <c r="D23" t="s">
        <v>194</v>
      </c>
      <c r="F23" s="12">
        <v>888543</v>
      </c>
      <c r="G23" t="s">
        <v>169</v>
      </c>
      <c r="H23" s="6">
        <v>43957</v>
      </c>
      <c r="I23" t="s">
        <v>170</v>
      </c>
    </row>
    <row r="24" spans="1:9" x14ac:dyDescent="0.2">
      <c r="A24" s="12">
        <v>1036964</v>
      </c>
      <c r="B24" t="s">
        <v>195</v>
      </c>
      <c r="C24" s="6">
        <v>43958</v>
      </c>
      <c r="D24" t="s">
        <v>196</v>
      </c>
      <c r="F24" s="12">
        <v>891883</v>
      </c>
      <c r="G24" t="s">
        <v>249</v>
      </c>
      <c r="H24" s="6">
        <v>43957</v>
      </c>
      <c r="I24" t="s">
        <v>250</v>
      </c>
    </row>
    <row r="25" spans="1:9" x14ac:dyDescent="0.2">
      <c r="A25" s="12">
        <v>1043694</v>
      </c>
      <c r="B25" t="s">
        <v>197</v>
      </c>
      <c r="C25" s="6">
        <v>43958</v>
      </c>
      <c r="D25" t="s">
        <v>198</v>
      </c>
      <c r="F25" s="12">
        <v>895473</v>
      </c>
      <c r="G25" t="s">
        <v>229</v>
      </c>
      <c r="H25" s="6">
        <v>43957</v>
      </c>
      <c r="I25" t="s">
        <v>230</v>
      </c>
    </row>
    <row r="26" spans="1:9" x14ac:dyDescent="0.2">
      <c r="A26" s="12">
        <v>997908</v>
      </c>
      <c r="B26" t="s">
        <v>199</v>
      </c>
      <c r="C26" s="6">
        <v>43958</v>
      </c>
      <c r="D26" t="s">
        <v>200</v>
      </c>
      <c r="F26" s="12">
        <v>896290</v>
      </c>
      <c r="G26" t="s">
        <v>253</v>
      </c>
      <c r="H26" s="6">
        <v>43957</v>
      </c>
      <c r="I26" t="s">
        <v>254</v>
      </c>
    </row>
    <row r="27" spans="1:9" x14ac:dyDescent="0.2">
      <c r="A27" s="12">
        <v>1028207</v>
      </c>
      <c r="B27" t="s">
        <v>201</v>
      </c>
      <c r="C27" s="6">
        <v>43957</v>
      </c>
      <c r="D27" t="s">
        <v>202</v>
      </c>
      <c r="F27" s="12">
        <v>910945</v>
      </c>
      <c r="G27" t="s">
        <v>183</v>
      </c>
      <c r="H27" s="6">
        <v>43958</v>
      </c>
      <c r="I27" t="s">
        <v>184</v>
      </c>
    </row>
    <row r="28" spans="1:9" x14ac:dyDescent="0.2">
      <c r="A28" s="12">
        <v>977963</v>
      </c>
      <c r="B28" t="s">
        <v>203</v>
      </c>
      <c r="C28" s="6">
        <v>43958</v>
      </c>
      <c r="D28" t="s">
        <v>204</v>
      </c>
      <c r="F28" s="12">
        <v>924739</v>
      </c>
      <c r="G28" t="s">
        <v>247</v>
      </c>
      <c r="H28" s="6">
        <v>43957</v>
      </c>
      <c r="I28" t="s">
        <v>248</v>
      </c>
    </row>
    <row r="29" spans="1:9" x14ac:dyDescent="0.2">
      <c r="A29" s="12">
        <v>345856</v>
      </c>
      <c r="B29" t="s">
        <v>205</v>
      </c>
      <c r="C29" s="6">
        <v>43957</v>
      </c>
      <c r="D29" t="s">
        <v>206</v>
      </c>
      <c r="F29" s="12">
        <v>928878</v>
      </c>
      <c r="G29" t="s">
        <v>185</v>
      </c>
      <c r="H29" s="6">
        <v>43958</v>
      </c>
      <c r="I29" t="s">
        <v>186</v>
      </c>
    </row>
    <row r="30" spans="1:9" x14ac:dyDescent="0.2">
      <c r="A30" s="12">
        <v>808147</v>
      </c>
      <c r="B30" t="s">
        <v>207</v>
      </c>
      <c r="C30" s="6">
        <v>43958</v>
      </c>
      <c r="D30" t="s">
        <v>208</v>
      </c>
      <c r="F30" s="12">
        <v>934216</v>
      </c>
      <c r="G30" t="s">
        <v>259</v>
      </c>
      <c r="H30" s="6">
        <v>43957</v>
      </c>
      <c r="I30" t="s">
        <v>260</v>
      </c>
    </row>
    <row r="31" spans="1:9" x14ac:dyDescent="0.2">
      <c r="A31" s="12">
        <v>1023372</v>
      </c>
      <c r="B31" t="s">
        <v>209</v>
      </c>
      <c r="C31" s="6">
        <v>43958</v>
      </c>
      <c r="D31" t="s">
        <v>210</v>
      </c>
      <c r="F31" s="12">
        <v>934915</v>
      </c>
      <c r="G31" t="s">
        <v>235</v>
      </c>
      <c r="H31" s="6">
        <v>43958</v>
      </c>
      <c r="I31" t="s">
        <v>236</v>
      </c>
    </row>
    <row r="32" spans="1:9" x14ac:dyDescent="0.2">
      <c r="A32" s="12">
        <v>684403</v>
      </c>
      <c r="B32" t="s">
        <v>211</v>
      </c>
      <c r="C32" s="6">
        <v>43958</v>
      </c>
      <c r="D32" t="s">
        <v>212</v>
      </c>
      <c r="F32" s="12">
        <v>958268</v>
      </c>
      <c r="G32" t="s">
        <v>193</v>
      </c>
      <c r="H32" s="6">
        <v>43958</v>
      </c>
      <c r="I32" t="s">
        <v>194</v>
      </c>
    </row>
    <row r="33" spans="1:9" x14ac:dyDescent="0.2">
      <c r="A33" s="12">
        <v>986455</v>
      </c>
      <c r="B33" t="s">
        <v>213</v>
      </c>
      <c r="C33" s="6">
        <v>43957</v>
      </c>
      <c r="D33" t="s">
        <v>214</v>
      </c>
      <c r="F33" s="12">
        <v>964444</v>
      </c>
      <c r="G33" t="s">
        <v>239</v>
      </c>
      <c r="H33" s="6">
        <v>43957</v>
      </c>
      <c r="I33" t="s">
        <v>240</v>
      </c>
    </row>
    <row r="34" spans="1:9" x14ac:dyDescent="0.2">
      <c r="A34" s="12">
        <v>1047765</v>
      </c>
      <c r="B34" t="s">
        <v>215</v>
      </c>
      <c r="C34" s="6">
        <v>43957</v>
      </c>
      <c r="D34" t="s">
        <v>216</v>
      </c>
      <c r="F34" s="12">
        <v>977589</v>
      </c>
      <c r="G34" t="s">
        <v>219</v>
      </c>
      <c r="H34" s="6">
        <v>43958</v>
      </c>
      <c r="I34" t="s">
        <v>220</v>
      </c>
    </row>
    <row r="35" spans="1:9" x14ac:dyDescent="0.2">
      <c r="A35" s="12">
        <v>1014825</v>
      </c>
      <c r="B35" t="s">
        <v>217</v>
      </c>
      <c r="C35" s="6">
        <v>43958</v>
      </c>
      <c r="D35" t="s">
        <v>218</v>
      </c>
      <c r="F35" s="12">
        <v>977963</v>
      </c>
      <c r="G35" t="s">
        <v>203</v>
      </c>
      <c r="H35" s="6">
        <v>43958</v>
      </c>
      <c r="I35" t="s">
        <v>204</v>
      </c>
    </row>
    <row r="36" spans="1:9" x14ac:dyDescent="0.2">
      <c r="A36" s="12">
        <v>977589</v>
      </c>
      <c r="B36" t="s">
        <v>219</v>
      </c>
      <c r="C36" s="6">
        <v>43958</v>
      </c>
      <c r="D36" t="s">
        <v>220</v>
      </c>
      <c r="F36" s="12">
        <v>982244</v>
      </c>
      <c r="G36" t="s">
        <v>189</v>
      </c>
      <c r="H36" s="6">
        <v>43958</v>
      </c>
      <c r="I36" t="s">
        <v>190</v>
      </c>
    </row>
    <row r="37" spans="1:9" x14ac:dyDescent="0.2">
      <c r="A37" s="12">
        <v>1012960</v>
      </c>
      <c r="B37" t="s">
        <v>221</v>
      </c>
      <c r="C37" s="6">
        <v>43957</v>
      </c>
      <c r="D37" t="s">
        <v>222</v>
      </c>
      <c r="F37" s="12">
        <v>986455</v>
      </c>
      <c r="G37" t="s">
        <v>213</v>
      </c>
      <c r="H37" s="6">
        <v>43957</v>
      </c>
      <c r="I37" t="s">
        <v>214</v>
      </c>
    </row>
    <row r="38" spans="1:9" x14ac:dyDescent="0.2">
      <c r="A38" s="12">
        <v>1039827</v>
      </c>
      <c r="B38" t="s">
        <v>223</v>
      </c>
      <c r="C38" s="6">
        <v>43957</v>
      </c>
      <c r="D38" t="s">
        <v>224</v>
      </c>
      <c r="F38" s="12">
        <v>994114</v>
      </c>
      <c r="G38" t="s">
        <v>165</v>
      </c>
      <c r="H38" s="6">
        <v>43957</v>
      </c>
      <c r="I38" t="s">
        <v>166</v>
      </c>
    </row>
    <row r="39" spans="1:9" x14ac:dyDescent="0.2">
      <c r="A39" s="12">
        <v>792916</v>
      </c>
      <c r="B39" t="s">
        <v>225</v>
      </c>
      <c r="C39" s="6">
        <v>43958</v>
      </c>
      <c r="D39" t="s">
        <v>226</v>
      </c>
      <c r="F39" s="12">
        <v>997376</v>
      </c>
      <c r="G39" t="s">
        <v>261</v>
      </c>
      <c r="H39" s="6">
        <v>43958</v>
      </c>
      <c r="I39" t="s">
        <v>262</v>
      </c>
    </row>
    <row r="40" spans="1:9" x14ac:dyDescent="0.2">
      <c r="A40" s="12">
        <v>1035199</v>
      </c>
      <c r="B40" t="s">
        <v>227</v>
      </c>
      <c r="C40" s="6">
        <v>43957</v>
      </c>
      <c r="D40" t="s">
        <v>228</v>
      </c>
      <c r="F40" s="12">
        <v>997908</v>
      </c>
      <c r="G40" t="s">
        <v>199</v>
      </c>
      <c r="H40" s="6">
        <v>43958</v>
      </c>
      <c r="I40" t="s">
        <v>200</v>
      </c>
    </row>
    <row r="41" spans="1:9" x14ac:dyDescent="0.2">
      <c r="A41" s="12">
        <v>895473</v>
      </c>
      <c r="B41" t="s">
        <v>229</v>
      </c>
      <c r="C41" s="6">
        <v>43957</v>
      </c>
      <c r="D41" t="s">
        <v>230</v>
      </c>
      <c r="F41" s="12">
        <v>1012960</v>
      </c>
      <c r="G41" t="s">
        <v>221</v>
      </c>
      <c r="H41" s="6">
        <v>43957</v>
      </c>
      <c r="I41" t="s">
        <v>222</v>
      </c>
    </row>
    <row r="42" spans="1:9" x14ac:dyDescent="0.2">
      <c r="A42" s="12">
        <v>833771</v>
      </c>
      <c r="B42" t="s">
        <v>231</v>
      </c>
      <c r="C42" s="6">
        <v>43958</v>
      </c>
      <c r="D42" t="s">
        <v>232</v>
      </c>
      <c r="F42" s="12">
        <v>1014825</v>
      </c>
      <c r="G42" t="s">
        <v>217</v>
      </c>
      <c r="H42" s="6">
        <v>43958</v>
      </c>
      <c r="I42" t="s">
        <v>218</v>
      </c>
    </row>
    <row r="43" spans="1:9" x14ac:dyDescent="0.2">
      <c r="A43" s="12">
        <v>523330</v>
      </c>
      <c r="B43" t="s">
        <v>233</v>
      </c>
      <c r="C43" s="6">
        <v>43957</v>
      </c>
      <c r="D43" t="s">
        <v>234</v>
      </c>
      <c r="F43" s="12">
        <v>1016534</v>
      </c>
      <c r="G43" t="s">
        <v>157</v>
      </c>
      <c r="H43" s="6">
        <v>43958</v>
      </c>
      <c r="I43" t="s">
        <v>158</v>
      </c>
    </row>
    <row r="44" spans="1:9" x14ac:dyDescent="0.2">
      <c r="A44" s="12">
        <v>934915</v>
      </c>
      <c r="B44" t="s">
        <v>235</v>
      </c>
      <c r="C44" s="6">
        <v>43958</v>
      </c>
      <c r="D44" t="s">
        <v>236</v>
      </c>
      <c r="F44" s="12">
        <v>1022282</v>
      </c>
      <c r="G44" t="s">
        <v>245</v>
      </c>
      <c r="H44" s="6">
        <v>43957</v>
      </c>
      <c r="I44" t="s">
        <v>246</v>
      </c>
    </row>
    <row r="45" spans="1:9" x14ac:dyDescent="0.2">
      <c r="A45" s="12">
        <v>574404</v>
      </c>
      <c r="B45" t="s">
        <v>237</v>
      </c>
      <c r="C45" s="6">
        <v>43958</v>
      </c>
      <c r="D45" t="s">
        <v>238</v>
      </c>
      <c r="F45" s="12">
        <v>1023372</v>
      </c>
      <c r="G45" t="s">
        <v>209</v>
      </c>
      <c r="H45" s="6">
        <v>43958</v>
      </c>
      <c r="I45" t="s">
        <v>210</v>
      </c>
    </row>
    <row r="46" spans="1:9" x14ac:dyDescent="0.2">
      <c r="A46" s="12">
        <v>964444</v>
      </c>
      <c r="B46" t="s">
        <v>239</v>
      </c>
      <c r="C46" s="6">
        <v>43957</v>
      </c>
      <c r="D46" t="s">
        <v>240</v>
      </c>
      <c r="F46" s="12">
        <v>1024952</v>
      </c>
      <c r="G46" t="s">
        <v>167</v>
      </c>
      <c r="H46" s="6">
        <v>43957</v>
      </c>
      <c r="I46" t="s">
        <v>168</v>
      </c>
    </row>
    <row r="47" spans="1:9" x14ac:dyDescent="0.2">
      <c r="A47" s="12">
        <v>547169</v>
      </c>
      <c r="B47" t="s">
        <v>241</v>
      </c>
      <c r="C47" s="6">
        <v>43958</v>
      </c>
      <c r="D47" t="s">
        <v>242</v>
      </c>
      <c r="F47" s="12">
        <v>1028207</v>
      </c>
      <c r="G47" t="s">
        <v>201</v>
      </c>
      <c r="H47" s="6">
        <v>43957</v>
      </c>
      <c r="I47" t="s">
        <v>202</v>
      </c>
    </row>
    <row r="48" spans="1:9" x14ac:dyDescent="0.2">
      <c r="A48" s="12">
        <v>1065569</v>
      </c>
      <c r="B48" s="10" t="s">
        <v>243</v>
      </c>
      <c r="C48" s="6">
        <v>43958</v>
      </c>
      <c r="D48" t="s">
        <v>244</v>
      </c>
      <c r="F48" s="12">
        <v>1035199</v>
      </c>
      <c r="G48" t="s">
        <v>227</v>
      </c>
      <c r="H48" s="6">
        <v>43957</v>
      </c>
      <c r="I48" t="s">
        <v>228</v>
      </c>
    </row>
    <row r="49" spans="1:9" x14ac:dyDescent="0.2">
      <c r="A49" s="12">
        <v>1022282</v>
      </c>
      <c r="B49" t="s">
        <v>245</v>
      </c>
      <c r="C49" s="6">
        <v>43957</v>
      </c>
      <c r="D49" t="s">
        <v>246</v>
      </c>
      <c r="F49" s="12">
        <v>1036964</v>
      </c>
      <c r="G49" t="s">
        <v>195</v>
      </c>
      <c r="H49" s="6">
        <v>43958</v>
      </c>
      <c r="I49" t="s">
        <v>196</v>
      </c>
    </row>
    <row r="50" spans="1:9" x14ac:dyDescent="0.2">
      <c r="A50" s="12">
        <v>924739</v>
      </c>
      <c r="B50" t="s">
        <v>247</v>
      </c>
      <c r="C50" s="6">
        <v>43957</v>
      </c>
      <c r="D50" t="s">
        <v>248</v>
      </c>
      <c r="F50" s="12">
        <v>1038679</v>
      </c>
      <c r="G50" t="s">
        <v>191</v>
      </c>
      <c r="H50" s="6">
        <v>43958</v>
      </c>
      <c r="I50" t="s">
        <v>192</v>
      </c>
    </row>
    <row r="51" spans="1:9" x14ac:dyDescent="0.2">
      <c r="A51" s="12">
        <v>891883</v>
      </c>
      <c r="B51" t="s">
        <v>249</v>
      </c>
      <c r="C51" s="6">
        <v>43957</v>
      </c>
      <c r="D51" t="s">
        <v>250</v>
      </c>
      <c r="F51" s="12">
        <v>1039827</v>
      </c>
      <c r="G51" t="s">
        <v>223</v>
      </c>
      <c r="H51" s="6">
        <v>43957</v>
      </c>
      <c r="I51" t="s">
        <v>224</v>
      </c>
    </row>
    <row r="52" spans="1:9" x14ac:dyDescent="0.2">
      <c r="A52" s="12">
        <v>1068669</v>
      </c>
      <c r="B52" t="s">
        <v>251</v>
      </c>
      <c r="C52" s="6">
        <v>43957</v>
      </c>
      <c r="D52" t="s">
        <v>252</v>
      </c>
      <c r="F52" s="12">
        <v>1039936</v>
      </c>
      <c r="G52" t="s">
        <v>173</v>
      </c>
      <c r="H52" s="6">
        <v>43957</v>
      </c>
      <c r="I52" t="s">
        <v>174</v>
      </c>
    </row>
    <row r="53" spans="1:9" x14ac:dyDescent="0.2">
      <c r="A53" s="12">
        <v>896290</v>
      </c>
      <c r="B53" t="s">
        <v>253</v>
      </c>
      <c r="C53" s="6">
        <v>43957</v>
      </c>
      <c r="D53" t="s">
        <v>254</v>
      </c>
      <c r="F53" s="12">
        <v>1043694</v>
      </c>
      <c r="G53" t="s">
        <v>197</v>
      </c>
      <c r="H53" s="6">
        <v>43958</v>
      </c>
      <c r="I53" t="s">
        <v>198</v>
      </c>
    </row>
    <row r="54" spans="1:9" x14ac:dyDescent="0.2">
      <c r="A54" s="12">
        <v>517817</v>
      </c>
      <c r="B54" t="s">
        <v>255</v>
      </c>
      <c r="C54" s="6">
        <v>43957</v>
      </c>
      <c r="D54" t="s">
        <v>256</v>
      </c>
      <c r="F54" s="12">
        <v>1047765</v>
      </c>
      <c r="G54" t="s">
        <v>215</v>
      </c>
      <c r="H54" s="6">
        <v>43957</v>
      </c>
      <c r="I54" t="s">
        <v>216</v>
      </c>
    </row>
    <row r="55" spans="1:9" x14ac:dyDescent="0.2">
      <c r="A55" s="12">
        <v>775232</v>
      </c>
      <c r="B55" t="s">
        <v>257</v>
      </c>
      <c r="C55" s="6">
        <v>43957</v>
      </c>
      <c r="D55" t="s">
        <v>258</v>
      </c>
      <c r="F55" s="12">
        <v>1063699</v>
      </c>
      <c r="G55" t="s">
        <v>181</v>
      </c>
      <c r="H55" s="6">
        <v>43958</v>
      </c>
      <c r="I55" t="s">
        <v>182</v>
      </c>
    </row>
    <row r="56" spans="1:9" x14ac:dyDescent="0.2">
      <c r="A56" s="12">
        <v>934216</v>
      </c>
      <c r="B56" t="s">
        <v>259</v>
      </c>
      <c r="C56" s="6">
        <v>43957</v>
      </c>
      <c r="D56" t="s">
        <v>260</v>
      </c>
      <c r="F56" s="12">
        <v>1065569</v>
      </c>
      <c r="G56" s="10" t="s">
        <v>243</v>
      </c>
      <c r="H56" s="6">
        <v>43958</v>
      </c>
      <c r="I56" t="s">
        <v>244</v>
      </c>
    </row>
    <row r="57" spans="1:9" x14ac:dyDescent="0.2">
      <c r="A57" s="12">
        <v>997376</v>
      </c>
      <c r="B57" t="s">
        <v>261</v>
      </c>
      <c r="C57" s="6">
        <v>43958</v>
      </c>
      <c r="D57" t="s">
        <v>262</v>
      </c>
      <c r="F57" s="12">
        <v>1068669</v>
      </c>
      <c r="G57" t="s">
        <v>251</v>
      </c>
      <c r="H57" s="6">
        <v>43957</v>
      </c>
      <c r="I57" t="s">
        <v>252</v>
      </c>
    </row>
    <row r="58" spans="1:9" x14ac:dyDescent="0.2">
      <c r="A58" s="12">
        <v>754151</v>
      </c>
      <c r="B58" t="s">
        <v>263</v>
      </c>
      <c r="C58" s="6">
        <v>43958</v>
      </c>
      <c r="D58" t="s">
        <v>264</v>
      </c>
      <c r="F58" s="12">
        <v>1070102</v>
      </c>
      <c r="G58" t="s">
        <v>159</v>
      </c>
      <c r="H58" s="6">
        <v>43958</v>
      </c>
      <c r="I58" t="s">
        <v>160</v>
      </c>
    </row>
  </sheetData>
  <sortState xmlns:xlrd2="http://schemas.microsoft.com/office/spreadsheetml/2017/richdata2" ref="F3:I58">
    <sortCondition ref="F3:F58"/>
  </sortState>
  <conditionalFormatting sqref="F3:I58 A3:D58">
    <cfRule type="expression" dxfId="0" priority="3">
      <formula xml:space="preserve"> #REF! &lt;= -2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Scoring</vt:lpstr>
      <vt:lpstr>Sheet2</vt:lpstr>
      <vt:lpstr>For Canvas</vt:lpstr>
      <vt:lpstr>I have two PDFs I am uploading </vt:lpstr>
      <vt:lpstr>Student Roster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 h</cp:lastModifiedBy>
  <dcterms:modified xsi:type="dcterms:W3CDTF">2025-11-07T22:19:37Z</dcterms:modified>
</cp:coreProperties>
</file>