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3\"/>
    </mc:Choice>
  </mc:AlternateContent>
  <xr:revisionPtr revIDLastSave="0" documentId="13_ncr:1_{FAAD6D39-5D67-4297-BB8B-D6009B65BB50}" xr6:coauthVersionLast="47" xr6:coauthVersionMax="47" xr10:uidLastSave="{00000000-0000-0000-0000-000000000000}"/>
  <bookViews>
    <workbookView xWindow="21525" yWindow="5685" windowWidth="16080" windowHeight="11715" xr2:uid="{00000000-000D-0000-FFFF-FFFF00000000}"/>
  </bookViews>
  <sheets>
    <sheet name="Raw Analysis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B41" i="2"/>
  <c r="C41" i="2"/>
  <c r="D41" i="2"/>
  <c r="E41" i="2"/>
  <c r="F41" i="2"/>
  <c r="G41" i="2"/>
  <c r="H41" i="2"/>
  <c r="I41" i="2"/>
  <c r="J41" i="2"/>
  <c r="B23" i="2"/>
  <c r="C23" i="2"/>
  <c r="D23" i="2"/>
  <c r="E23" i="2"/>
  <c r="F23" i="2"/>
  <c r="G23" i="2"/>
  <c r="H23" i="2"/>
  <c r="I23" i="2"/>
  <c r="J23" i="2"/>
  <c r="B43" i="2"/>
  <c r="C43" i="2"/>
  <c r="D43" i="2"/>
  <c r="E43" i="2"/>
  <c r="F43" i="2"/>
  <c r="G43" i="2"/>
  <c r="H43" i="2"/>
  <c r="I43" i="2"/>
  <c r="J43" i="2"/>
  <c r="B33" i="2"/>
  <c r="C33" i="2"/>
  <c r="D33" i="2"/>
  <c r="E33" i="2"/>
  <c r="F33" i="2"/>
  <c r="G33" i="2"/>
  <c r="H33" i="2"/>
  <c r="I33" i="2"/>
  <c r="J33" i="2"/>
  <c r="B26" i="2"/>
  <c r="C26" i="2"/>
  <c r="D26" i="2"/>
  <c r="E26" i="2"/>
  <c r="F26" i="2"/>
  <c r="G26" i="2"/>
  <c r="H26" i="2"/>
  <c r="I26" i="2"/>
  <c r="J26" i="2"/>
  <c r="B21" i="2"/>
  <c r="C21" i="2"/>
  <c r="D21" i="2"/>
  <c r="E21" i="2"/>
  <c r="F21" i="2"/>
  <c r="G21" i="2"/>
  <c r="H21" i="2"/>
  <c r="I21" i="2"/>
  <c r="J21" i="2"/>
  <c r="B10" i="2"/>
  <c r="C10" i="2"/>
  <c r="D10" i="2"/>
  <c r="E10" i="2"/>
  <c r="F10" i="2"/>
  <c r="G10" i="2"/>
  <c r="H10" i="2"/>
  <c r="I10" i="2"/>
  <c r="J10" i="2"/>
  <c r="B52" i="2"/>
  <c r="C52" i="2"/>
  <c r="D52" i="2"/>
  <c r="E52" i="2"/>
  <c r="F52" i="2"/>
  <c r="G52" i="2"/>
  <c r="H52" i="2"/>
  <c r="I52" i="2"/>
  <c r="J52" i="2"/>
  <c r="B34" i="2"/>
  <c r="C34" i="2"/>
  <c r="D34" i="2"/>
  <c r="E34" i="2"/>
  <c r="F34" i="2"/>
  <c r="G34" i="2"/>
  <c r="H34" i="2"/>
  <c r="I34" i="2"/>
  <c r="J34" i="2"/>
  <c r="B32" i="2"/>
  <c r="C32" i="2"/>
  <c r="D32" i="2"/>
  <c r="E32" i="2"/>
  <c r="F32" i="2"/>
  <c r="G32" i="2"/>
  <c r="H32" i="2"/>
  <c r="I32" i="2"/>
  <c r="J32" i="2"/>
  <c r="B5" i="2"/>
  <c r="C5" i="2"/>
  <c r="D5" i="2"/>
  <c r="E5" i="2"/>
  <c r="F5" i="2"/>
  <c r="G5" i="2"/>
  <c r="H5" i="2"/>
  <c r="I5" i="2"/>
  <c r="J5" i="2"/>
  <c r="B11" i="2"/>
  <c r="C11" i="2"/>
  <c r="D11" i="2"/>
  <c r="E11" i="2"/>
  <c r="F11" i="2"/>
  <c r="G11" i="2"/>
  <c r="H11" i="2"/>
  <c r="I11" i="2"/>
  <c r="J11" i="2"/>
  <c r="B37" i="2"/>
  <c r="C37" i="2"/>
  <c r="D37" i="2"/>
  <c r="E37" i="2"/>
  <c r="F37" i="2"/>
  <c r="G37" i="2"/>
  <c r="H37" i="2"/>
  <c r="I37" i="2"/>
  <c r="J37" i="2"/>
  <c r="B35" i="2"/>
  <c r="C35" i="2"/>
  <c r="D35" i="2"/>
  <c r="E35" i="2"/>
  <c r="F35" i="2"/>
  <c r="G35" i="2"/>
  <c r="H35" i="2"/>
  <c r="I35" i="2"/>
  <c r="J35" i="2"/>
  <c r="B14" i="2"/>
  <c r="C14" i="2"/>
  <c r="D14" i="2"/>
  <c r="E14" i="2"/>
  <c r="F14" i="2"/>
  <c r="G14" i="2"/>
  <c r="H14" i="2"/>
  <c r="I14" i="2"/>
  <c r="J14" i="2"/>
  <c r="B24" i="2"/>
  <c r="C24" i="2"/>
  <c r="D24" i="2"/>
  <c r="E24" i="2"/>
  <c r="F24" i="2"/>
  <c r="G24" i="2"/>
  <c r="H24" i="2"/>
  <c r="I24" i="2"/>
  <c r="J24" i="2"/>
  <c r="B31" i="2"/>
  <c r="C31" i="2"/>
  <c r="D31" i="2"/>
  <c r="E31" i="2"/>
  <c r="F31" i="2"/>
  <c r="G31" i="2"/>
  <c r="H31" i="2"/>
  <c r="I31" i="2"/>
  <c r="J31" i="2"/>
  <c r="B18" i="2"/>
  <c r="C18" i="2"/>
  <c r="D18" i="2"/>
  <c r="E18" i="2"/>
  <c r="F18" i="2"/>
  <c r="G18" i="2"/>
  <c r="H18" i="2"/>
  <c r="I18" i="2"/>
  <c r="J18" i="2"/>
  <c r="B7" i="2"/>
  <c r="C7" i="2"/>
  <c r="D7" i="2"/>
  <c r="E7" i="2"/>
  <c r="F7" i="2"/>
  <c r="G7" i="2"/>
  <c r="H7" i="2"/>
  <c r="I7" i="2"/>
  <c r="J7" i="2"/>
  <c r="B48" i="2"/>
  <c r="C48" i="2"/>
  <c r="D48" i="2"/>
  <c r="E48" i="2"/>
  <c r="F48" i="2"/>
  <c r="G48" i="2"/>
  <c r="H48" i="2"/>
  <c r="I48" i="2"/>
  <c r="J48" i="2"/>
  <c r="B19" i="2"/>
  <c r="C19" i="2"/>
  <c r="D19" i="2"/>
  <c r="E19" i="2"/>
  <c r="F19" i="2"/>
  <c r="G19" i="2"/>
  <c r="H19" i="2"/>
  <c r="I19" i="2"/>
  <c r="J19" i="2"/>
  <c r="B25" i="2"/>
  <c r="C25" i="2"/>
  <c r="D25" i="2"/>
  <c r="E25" i="2"/>
  <c r="F25" i="2"/>
  <c r="G25" i="2"/>
  <c r="H25" i="2"/>
  <c r="I25" i="2"/>
  <c r="J25" i="2"/>
  <c r="B16" i="2"/>
  <c r="C16" i="2"/>
  <c r="D16" i="2"/>
  <c r="E16" i="2"/>
  <c r="F16" i="2"/>
  <c r="G16" i="2"/>
  <c r="H16" i="2"/>
  <c r="I16" i="2"/>
  <c r="J16" i="2"/>
  <c r="B45" i="2"/>
  <c r="C45" i="2"/>
  <c r="D45" i="2"/>
  <c r="E45" i="2"/>
  <c r="F45" i="2"/>
  <c r="G45" i="2"/>
  <c r="H45" i="2"/>
  <c r="I45" i="2"/>
  <c r="J45" i="2"/>
  <c r="B30" i="2"/>
  <c r="C30" i="2"/>
  <c r="D30" i="2"/>
  <c r="E30" i="2"/>
  <c r="F30" i="2"/>
  <c r="G30" i="2"/>
  <c r="H30" i="2"/>
  <c r="I30" i="2"/>
  <c r="J30" i="2"/>
  <c r="B22" i="2"/>
  <c r="C22" i="2"/>
  <c r="D22" i="2"/>
  <c r="E22" i="2"/>
  <c r="F22" i="2"/>
  <c r="G22" i="2"/>
  <c r="H22" i="2"/>
  <c r="I22" i="2"/>
  <c r="J22" i="2"/>
  <c r="B6" i="2"/>
  <c r="C6" i="2"/>
  <c r="D6" i="2"/>
  <c r="E6" i="2"/>
  <c r="F6" i="2"/>
  <c r="G6" i="2"/>
  <c r="H6" i="2"/>
  <c r="I6" i="2"/>
  <c r="J6" i="2"/>
  <c r="B17" i="2"/>
  <c r="C17" i="2"/>
  <c r="D17" i="2"/>
  <c r="E17" i="2"/>
  <c r="F17" i="2"/>
  <c r="G17" i="2"/>
  <c r="H17" i="2"/>
  <c r="I17" i="2"/>
  <c r="J17" i="2"/>
  <c r="B40" i="2"/>
  <c r="C40" i="2"/>
  <c r="D40" i="2"/>
  <c r="E40" i="2"/>
  <c r="F40" i="2"/>
  <c r="G40" i="2"/>
  <c r="H40" i="2"/>
  <c r="I40" i="2"/>
  <c r="J40" i="2"/>
  <c r="B44" i="2"/>
  <c r="C44" i="2"/>
  <c r="D44" i="2"/>
  <c r="E44" i="2"/>
  <c r="F44" i="2"/>
  <c r="G44" i="2"/>
  <c r="H44" i="2"/>
  <c r="I44" i="2"/>
  <c r="J44" i="2"/>
  <c r="B42" i="2"/>
  <c r="C42" i="2"/>
  <c r="D42" i="2"/>
  <c r="E42" i="2"/>
  <c r="F42" i="2"/>
  <c r="G42" i="2"/>
  <c r="H42" i="2"/>
  <c r="I42" i="2"/>
  <c r="J42" i="2"/>
  <c r="B9" i="2"/>
  <c r="C9" i="2"/>
  <c r="D9" i="2"/>
  <c r="E9" i="2"/>
  <c r="F9" i="2"/>
  <c r="G9" i="2"/>
  <c r="H9" i="2"/>
  <c r="I9" i="2"/>
  <c r="J9" i="2"/>
  <c r="B29" i="2"/>
  <c r="C29" i="2"/>
  <c r="D29" i="2"/>
  <c r="E29" i="2"/>
  <c r="F29" i="2"/>
  <c r="G29" i="2"/>
  <c r="H29" i="2"/>
  <c r="I29" i="2"/>
  <c r="J29" i="2"/>
  <c r="B3" i="2"/>
  <c r="C3" i="2"/>
  <c r="D3" i="2"/>
  <c r="E3" i="2"/>
  <c r="F3" i="2"/>
  <c r="G3" i="2"/>
  <c r="H3" i="2"/>
  <c r="I3" i="2"/>
  <c r="J3" i="2"/>
  <c r="B13" i="2"/>
  <c r="C13" i="2"/>
  <c r="D13" i="2"/>
  <c r="E13" i="2"/>
  <c r="F13" i="2"/>
  <c r="G13" i="2"/>
  <c r="H13" i="2"/>
  <c r="I13" i="2"/>
  <c r="J13" i="2"/>
  <c r="B53" i="2"/>
  <c r="C53" i="2"/>
  <c r="D53" i="2"/>
  <c r="E53" i="2"/>
  <c r="F53" i="2"/>
  <c r="G53" i="2"/>
  <c r="H53" i="2"/>
  <c r="I53" i="2"/>
  <c r="J53" i="2"/>
  <c r="B8" i="2"/>
  <c r="C8" i="2"/>
  <c r="D8" i="2"/>
  <c r="E8" i="2"/>
  <c r="F8" i="2"/>
  <c r="G8" i="2"/>
  <c r="H8" i="2"/>
  <c r="I8" i="2"/>
  <c r="J8" i="2"/>
  <c r="B50" i="2"/>
  <c r="C50" i="2"/>
  <c r="D50" i="2"/>
  <c r="E50" i="2"/>
  <c r="F50" i="2"/>
  <c r="G50" i="2"/>
  <c r="H50" i="2"/>
  <c r="I50" i="2"/>
  <c r="J50" i="2"/>
  <c r="B15" i="2"/>
  <c r="C15" i="2"/>
  <c r="D15" i="2"/>
  <c r="E15" i="2"/>
  <c r="F15" i="2"/>
  <c r="G15" i="2"/>
  <c r="H15" i="2"/>
  <c r="I15" i="2"/>
  <c r="J15" i="2"/>
  <c r="B36" i="2"/>
  <c r="C36" i="2"/>
  <c r="D36" i="2"/>
  <c r="E36" i="2"/>
  <c r="F36" i="2"/>
  <c r="G36" i="2"/>
  <c r="H36" i="2"/>
  <c r="I36" i="2"/>
  <c r="J36" i="2"/>
  <c r="B28" i="2"/>
  <c r="C28" i="2"/>
  <c r="D28" i="2"/>
  <c r="E28" i="2"/>
  <c r="F28" i="2"/>
  <c r="G28" i="2"/>
  <c r="H28" i="2"/>
  <c r="I28" i="2"/>
  <c r="J28" i="2"/>
  <c r="B39" i="2"/>
  <c r="C39" i="2"/>
  <c r="D39" i="2"/>
  <c r="E39" i="2"/>
  <c r="F39" i="2"/>
  <c r="G39" i="2"/>
  <c r="H39" i="2"/>
  <c r="I39" i="2"/>
  <c r="J39" i="2"/>
  <c r="B20" i="2"/>
  <c r="C20" i="2"/>
  <c r="D20" i="2"/>
  <c r="E20" i="2"/>
  <c r="F20" i="2"/>
  <c r="G20" i="2"/>
  <c r="H20" i="2"/>
  <c r="I20" i="2"/>
  <c r="J20" i="2"/>
  <c r="B4" i="2"/>
  <c r="C4" i="2"/>
  <c r="D4" i="2"/>
  <c r="E4" i="2"/>
  <c r="F4" i="2"/>
  <c r="G4" i="2"/>
  <c r="H4" i="2"/>
  <c r="I4" i="2"/>
  <c r="J4" i="2"/>
  <c r="B12" i="2"/>
  <c r="C12" i="2"/>
  <c r="D12" i="2"/>
  <c r="E12" i="2"/>
  <c r="F12" i="2"/>
  <c r="G12" i="2"/>
  <c r="H12" i="2"/>
  <c r="I12" i="2"/>
  <c r="J12" i="2"/>
  <c r="B47" i="2"/>
  <c r="C47" i="2"/>
  <c r="D47" i="2"/>
  <c r="E47" i="2"/>
  <c r="F47" i="2"/>
  <c r="G47" i="2"/>
  <c r="H47" i="2"/>
  <c r="I47" i="2"/>
  <c r="J47" i="2"/>
  <c r="B38" i="2"/>
  <c r="C38" i="2"/>
  <c r="D38" i="2"/>
  <c r="E38" i="2"/>
  <c r="F38" i="2"/>
  <c r="G38" i="2"/>
  <c r="H38" i="2"/>
  <c r="I38" i="2"/>
  <c r="J38" i="2"/>
  <c r="B49" i="2"/>
  <c r="C49" i="2"/>
  <c r="D49" i="2"/>
  <c r="E49" i="2"/>
  <c r="F49" i="2"/>
  <c r="G49" i="2"/>
  <c r="H49" i="2"/>
  <c r="I49" i="2"/>
  <c r="J49" i="2"/>
  <c r="B46" i="2"/>
  <c r="C46" i="2"/>
  <c r="D46" i="2"/>
  <c r="E46" i="2"/>
  <c r="F46" i="2"/>
  <c r="G46" i="2"/>
  <c r="H46" i="2"/>
  <c r="I46" i="2"/>
  <c r="J46" i="2"/>
  <c r="B51" i="2"/>
  <c r="C51" i="2"/>
  <c r="D51" i="2"/>
  <c r="E51" i="2"/>
  <c r="F51" i="2"/>
  <c r="G51" i="2"/>
  <c r="H51" i="2"/>
  <c r="I51" i="2"/>
  <c r="J51" i="2"/>
  <c r="F27" i="2"/>
  <c r="G27" i="2"/>
  <c r="H27" i="2"/>
  <c r="I27" i="2"/>
  <c r="J27" i="2"/>
  <c r="E27" i="2"/>
  <c r="D27" i="2"/>
  <c r="C27" i="2"/>
  <c r="B27" i="2"/>
  <c r="F36" i="1" l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6" i="1" a="1"/>
  <c r="F6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G25" i="1" s="1"/>
  <c r="H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G34" i="1" s="1"/>
  <c r="H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G42" i="1" s="1"/>
  <c r="H42" i="1" s="1"/>
  <c r="E43" i="1" a="1"/>
  <c r="E43" i="1" s="1"/>
  <c r="E44" i="1" a="1"/>
  <c r="E44" i="1" s="1"/>
  <c r="G44" i="1" s="1"/>
  <c r="H44" i="1" s="1"/>
  <c r="E45" i="1" a="1"/>
  <c r="E45" i="1" s="1"/>
  <c r="G45" i="1" s="1"/>
  <c r="H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7" i="1" a="1"/>
  <c r="E7" i="1" s="1"/>
  <c r="E8" i="1" a="1"/>
  <c r="E8" i="1" s="1"/>
  <c r="G8" i="1" s="1"/>
  <c r="H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6" i="1" a="1"/>
  <c r="E6" i="1" s="1"/>
  <c r="G33" i="1" l="1"/>
  <c r="H33" i="1" s="1"/>
  <c r="G19" i="1"/>
  <c r="H19" i="1" s="1"/>
  <c r="G53" i="1"/>
  <c r="H53" i="1" s="1"/>
  <c r="G18" i="1"/>
  <c r="H18" i="1" s="1"/>
  <c r="G52" i="1"/>
  <c r="H52" i="1" s="1"/>
  <c r="G36" i="1"/>
  <c r="H36" i="1" s="1"/>
  <c r="G20" i="1"/>
  <c r="H20" i="1" s="1"/>
  <c r="G35" i="1"/>
  <c r="H35" i="1" s="1"/>
  <c r="G26" i="1"/>
  <c r="H26" i="1" s="1"/>
  <c r="G37" i="1"/>
  <c r="H37" i="1" s="1"/>
  <c r="G55" i="1"/>
  <c r="H55" i="1" s="1"/>
  <c r="G39" i="1"/>
  <c r="H39" i="1" s="1"/>
  <c r="G54" i="1"/>
  <c r="H54" i="1" s="1"/>
  <c r="G38" i="1"/>
  <c r="H38" i="1" s="1"/>
  <c r="G41" i="1"/>
  <c r="H41" i="1" s="1"/>
  <c r="G7" i="1"/>
  <c r="H7" i="1" s="1"/>
  <c r="G56" i="1"/>
  <c r="H56" i="1" s="1"/>
  <c r="G24" i="1"/>
  <c r="H24" i="1" s="1"/>
  <c r="G22" i="1"/>
  <c r="H22" i="1" s="1"/>
  <c r="G17" i="1"/>
  <c r="H17" i="1" s="1"/>
  <c r="G15" i="1"/>
  <c r="H15" i="1" s="1"/>
  <c r="G30" i="1"/>
  <c r="H30" i="1" s="1"/>
  <c r="G16" i="1"/>
  <c r="H16" i="1" s="1"/>
  <c r="G14" i="1"/>
  <c r="H14" i="1" s="1"/>
  <c r="G48" i="1"/>
  <c r="H48" i="1" s="1"/>
  <c r="G31" i="1"/>
  <c r="H31" i="1" s="1"/>
  <c r="G29" i="1"/>
  <c r="H29" i="1" s="1"/>
  <c r="G40" i="1"/>
  <c r="H40" i="1" s="1"/>
  <c r="G23" i="1"/>
  <c r="H23" i="1" s="1"/>
  <c r="G6" i="1"/>
  <c r="H6" i="1" s="1"/>
  <c r="G21" i="1"/>
  <c r="H21" i="1" s="1"/>
  <c r="G51" i="1"/>
  <c r="H51" i="1" s="1"/>
  <c r="G50" i="1"/>
  <c r="H50" i="1" s="1"/>
  <c r="G49" i="1"/>
  <c r="H49" i="1" s="1"/>
  <c r="G32" i="1"/>
  <c r="H32" i="1" s="1"/>
  <c r="G27" i="1"/>
  <c r="H27" i="1" s="1"/>
  <c r="G13" i="1"/>
  <c r="H13" i="1" s="1"/>
  <c r="G12" i="1"/>
  <c r="H12" i="1" s="1"/>
  <c r="G46" i="1"/>
  <c r="H46" i="1" s="1"/>
  <c r="G11" i="1"/>
  <c r="H11" i="1" s="1"/>
  <c r="G10" i="1"/>
  <c r="H10" i="1" s="1"/>
  <c r="G47" i="1"/>
  <c r="H47" i="1" s="1"/>
  <c r="G9" i="1"/>
  <c r="H9" i="1" s="1"/>
  <c r="G43" i="1"/>
  <c r="H43" i="1" s="1"/>
  <c r="G28" i="1"/>
  <c r="H28" i="1" s="1"/>
  <c r="AW11" i="1"/>
  <c r="I53" i="1" l="1"/>
  <c r="H60" i="1"/>
  <c r="H59" i="1"/>
  <c r="H58" i="1"/>
  <c r="I26" i="1" s="1"/>
  <c r="H63" i="1"/>
  <c r="H61" i="1"/>
  <c r="I29" i="1"/>
  <c r="I7" i="1" l="1"/>
  <c r="I32" i="1"/>
  <c r="I40" i="1"/>
  <c r="I10" i="1"/>
  <c r="I15" i="1"/>
  <c r="I43" i="1"/>
  <c r="I36" i="1"/>
  <c r="I23" i="1"/>
  <c r="I46" i="1"/>
  <c r="I41" i="1"/>
  <c r="I18" i="1"/>
  <c r="I14" i="1"/>
  <c r="I27" i="1"/>
  <c r="I9" i="1"/>
  <c r="I21" i="1"/>
  <c r="I56" i="1"/>
  <c r="I19" i="1"/>
  <c r="I30" i="1"/>
  <c r="I16" i="1"/>
  <c r="I35" i="1"/>
  <c r="I6" i="1"/>
  <c r="I45" i="1"/>
  <c r="I44" i="1"/>
  <c r="I42" i="1"/>
  <c r="I25" i="1"/>
  <c r="I8" i="1"/>
  <c r="I34" i="1"/>
  <c r="I54" i="1"/>
  <c r="I20" i="1"/>
  <c r="I33" i="1"/>
  <c r="I24" i="1"/>
  <c r="I17" i="1"/>
  <c r="I22" i="1"/>
  <c r="I13" i="1"/>
  <c r="I52" i="1"/>
  <c r="I12" i="1"/>
  <c r="I31" i="1"/>
  <c r="I11" i="1"/>
  <c r="I38" i="1"/>
  <c r="I48" i="1"/>
  <c r="I37" i="1"/>
  <c r="I51" i="1"/>
  <c r="I39" i="1"/>
  <c r="I50" i="1"/>
  <c r="I55" i="1"/>
  <c r="I28" i="1"/>
  <c r="I49" i="1"/>
  <c r="I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<sst xmlns="http://schemas.openxmlformats.org/spreadsheetml/2006/main" count="2268" uniqueCount="166">
  <si>
    <t>Key ID</t>
  </si>
  <si>
    <t>ID1</t>
  </si>
  <si>
    <t>Student</t>
  </si>
  <si>
    <t>Section</t>
  </si>
  <si>
    <t>A</t>
  </si>
  <si>
    <t>B</t>
  </si>
  <si>
    <t>C</t>
  </si>
  <si>
    <t>D</t>
  </si>
  <si>
    <t>BLANK</t>
  </si>
  <si>
    <t>E</t>
  </si>
  <si>
    <t>Email</t>
  </si>
  <si>
    <t>Andrade, Antonio</t>
  </si>
  <si>
    <t>AAndrade26@MY.SCCCD.EDU</t>
  </si>
  <si>
    <t>Aquino, Hailey</t>
  </si>
  <si>
    <t>HJAquino1@MY.SCCCD.EDU</t>
  </si>
  <si>
    <t>Arellano Cruz, Ashley</t>
  </si>
  <si>
    <t>AMArellanoCruz1@MY.SCCCD.EDU</t>
  </si>
  <si>
    <t>Castro, Socorro</t>
  </si>
  <si>
    <t>SCastro42@MY.SCCCD.EDU</t>
  </si>
  <si>
    <t>Ceballos, Ariel</t>
  </si>
  <si>
    <t>AMCeballos1@MY.SCCCD.EDU</t>
  </si>
  <si>
    <t>Corea, Kristie</t>
  </si>
  <si>
    <t>KNCorea1@MY.SCCCD.EDU</t>
  </si>
  <si>
    <t>Esparza, Beatrice</t>
  </si>
  <si>
    <t>BMEsparza1@MY.SCCCD.EDU</t>
  </si>
  <si>
    <t>Fang, Pa</t>
  </si>
  <si>
    <t>PHFang1@MY.SCCCD.EDU</t>
  </si>
  <si>
    <t>Gamez, Sergio</t>
  </si>
  <si>
    <t>SRGamez1@MY.SCCCD.EDU</t>
  </si>
  <si>
    <t>Garcia, Sabrina</t>
  </si>
  <si>
    <t>SRGarcia4@MY.SCCCD.EDU</t>
  </si>
  <si>
    <t>Garcia-Hernandez, Allison</t>
  </si>
  <si>
    <t>AGGarciaHernandez2@MY.SCCCD.EDU</t>
  </si>
  <si>
    <t>Hernan, Jazmine</t>
  </si>
  <si>
    <t>JHHernan1@MY.SCCCD.EDU</t>
  </si>
  <si>
    <t>Jimenez Merino, Oscar</t>
  </si>
  <si>
    <t>ODJimenezMerino1@MY.SCCCD.EDU</t>
  </si>
  <si>
    <t>Khan, Hamza</t>
  </si>
  <si>
    <t>HAKhan2@MY.SCCCD.EDU</t>
  </si>
  <si>
    <t>Maravilla Martinez, Rogelio</t>
  </si>
  <si>
    <t>RMaravillaMartinez1@MY.SCCCD.EDU</t>
  </si>
  <si>
    <t>Marquez, Rocelia</t>
  </si>
  <si>
    <t>RMarquez33@MY.SCCCD.EDU</t>
  </si>
  <si>
    <t>Martinez, Vanessa</t>
  </si>
  <si>
    <t>VEMartinez2@MY.SCCCD.EDU</t>
  </si>
  <si>
    <t>Morgan, Steven</t>
  </si>
  <si>
    <t>SVMorgan1@MY.SCCCD.EDU</t>
  </si>
  <si>
    <t>Munoz Cisneros, Evelyn</t>
  </si>
  <si>
    <t>EMunozCisneros1@MY.SCCCD.EDU</t>
  </si>
  <si>
    <t>Musso, Isabella</t>
  </si>
  <si>
    <t>IRMusso1@MY.SCCCD.EDU</t>
  </si>
  <si>
    <t>Negrete, Miguel</t>
  </si>
  <si>
    <t>MNegrete25@MY.SCCCD.EDU</t>
  </si>
  <si>
    <t>Nounvilaythong, Samaria</t>
  </si>
  <si>
    <t>SVNounvilaythong1@MY.SCCCD.EDU</t>
  </si>
  <si>
    <t>Olea, Joscelyne</t>
  </si>
  <si>
    <t>JDOlea1@MY.SCCCD.EDU</t>
  </si>
  <si>
    <t>Parada, Jennifer</t>
  </si>
  <si>
    <t>JParada1@MY.SCCCD.EDU</t>
  </si>
  <si>
    <t>Pascale, Teah</t>
  </si>
  <si>
    <t>TMPascale1@MY.SCCCD.EDU</t>
  </si>
  <si>
    <t>Pedroza, Serena</t>
  </si>
  <si>
    <t>SRPedroza2@MY.SCCCD.EDU</t>
  </si>
  <si>
    <t>Perales, April</t>
  </si>
  <si>
    <t>AKPerales1@MY.SCCCD.EDU</t>
  </si>
  <si>
    <t>Pyle, Matthew</t>
  </si>
  <si>
    <t>MPyle1@MY.SCCCD.EDU</t>
  </si>
  <si>
    <t>Rodriguez, Ericke</t>
  </si>
  <si>
    <t>EMRodriguez22@MY.SCCCD.EDU</t>
  </si>
  <si>
    <t>Rodriguez, Madison</t>
  </si>
  <si>
    <t>MTRodriguez3@MY.SCCCD.EDU</t>
  </si>
  <si>
    <t>Ross, Derick</t>
  </si>
  <si>
    <t>DSRoss2@MY.SCCCD.EDU</t>
  </si>
  <si>
    <t>San Roman, Jesus</t>
  </si>
  <si>
    <t>JSanRoman2@MY.SCCCD.EDU</t>
  </si>
  <si>
    <t>Bryant, Tajanique</t>
  </si>
  <si>
    <t>TMBryant1@MY.SCCCD.EDU</t>
  </si>
  <si>
    <t>Santos, Madison</t>
  </si>
  <si>
    <t>MRSantos3@MY.SCCCD.EDU</t>
  </si>
  <si>
    <t>Sarkisyan, Rita</t>
  </si>
  <si>
    <t>RASarkisyan1@MY.SCCCD.EDU</t>
  </si>
  <si>
    <t>Snell, Tricia</t>
  </si>
  <si>
    <t>TDSnell1@MY.SCCCD.EDU</t>
  </si>
  <si>
    <t>Tacadena, Elle</t>
  </si>
  <si>
    <t>EMTacadena1@MY.SCCCD.EDU</t>
  </si>
  <si>
    <t>Vargas, Lisa</t>
  </si>
  <si>
    <t>LRVargas1@MY.SCCCD.EDU</t>
  </si>
  <si>
    <t>Wright, Rebecca</t>
  </si>
  <si>
    <t>RLWright3@MY.SCCCD.EDU</t>
  </si>
  <si>
    <t>Xiong, Wendy</t>
  </si>
  <si>
    <t>WPXiong2@MY.SCCCD.EDU</t>
  </si>
  <si>
    <t>Zavala, Nia</t>
  </si>
  <si>
    <t>NRZavala2@MY.SCCCD.EDU</t>
  </si>
  <si>
    <t xml:space="preserve">Answers </t>
  </si>
  <si>
    <t>Q. 1</t>
  </si>
  <si>
    <t>Q. 2</t>
  </si>
  <si>
    <t>Q. 3</t>
  </si>
  <si>
    <t>Q. 4</t>
  </si>
  <si>
    <t>Q. 5</t>
  </si>
  <si>
    <t>Q. 6</t>
  </si>
  <si>
    <t>Q. 7</t>
  </si>
  <si>
    <t>Q. 8</t>
  </si>
  <si>
    <t>Q. 9</t>
  </si>
  <si>
    <t>Q. 10</t>
  </si>
  <si>
    <t>Q. 11</t>
  </si>
  <si>
    <t>Q. 12</t>
  </si>
  <si>
    <t>Q. 13</t>
  </si>
  <si>
    <t>Q. 14</t>
  </si>
  <si>
    <t>Q. 15</t>
  </si>
  <si>
    <t>Q. 16</t>
  </si>
  <si>
    <t>Q. 17</t>
  </si>
  <si>
    <t>Q. 18</t>
  </si>
  <si>
    <t>Q. 19</t>
  </si>
  <si>
    <t>Q. 20</t>
  </si>
  <si>
    <t>Q. 21</t>
  </si>
  <si>
    <t>Q. 22</t>
  </si>
  <si>
    <t>Q. 23</t>
  </si>
  <si>
    <t>Q. 24</t>
  </si>
  <si>
    <t>Q. 25</t>
  </si>
  <si>
    <t>Q. 26</t>
  </si>
  <si>
    <t>Q. 27</t>
  </si>
  <si>
    <t>Q. 28</t>
  </si>
  <si>
    <t>Q. 29</t>
  </si>
  <si>
    <t>Q. 30</t>
  </si>
  <si>
    <t>Q. 31</t>
  </si>
  <si>
    <t>Q. 32</t>
  </si>
  <si>
    <t>Q. 33</t>
  </si>
  <si>
    <t>Q. 34</t>
  </si>
  <si>
    <t>Q. 35</t>
  </si>
  <si>
    <t>Recorded Key ID</t>
  </si>
  <si>
    <t>Edited Key ID</t>
  </si>
  <si>
    <t>Full Test</t>
  </si>
  <si>
    <t>M/C Correct</t>
  </si>
  <si>
    <t>T/F Correct</t>
  </si>
  <si>
    <t>Raw Score</t>
  </si>
  <si>
    <t>Adjusted Score</t>
  </si>
  <si>
    <t>Z value</t>
  </si>
  <si>
    <t>Moua, Haley</t>
  </si>
  <si>
    <t>Sandoval, Emily</t>
  </si>
  <si>
    <t>Garcia, Jovanna</t>
  </si>
  <si>
    <t>Lopez, Jovina</t>
  </si>
  <si>
    <t>Her, Kangbao</t>
  </si>
  <si>
    <t>Garcia, Andres</t>
  </si>
  <si>
    <t>KHer133@MY.SCCCD.EDU</t>
  </si>
  <si>
    <t>Becerril, Destiny</t>
  </si>
  <si>
    <t>DVBecerril1@MY.SCCCD.EDU</t>
  </si>
  <si>
    <t>JALopez110@MY.SCCCD.EDU</t>
  </si>
  <si>
    <t>JAGarcia38@MY.SCCCD.EDU</t>
  </si>
  <si>
    <t>EESandoval2@MY.SCCCD.EDU</t>
  </si>
  <si>
    <t>HNMoua3@MY.SCCCD.EDU</t>
  </si>
  <si>
    <t>Hernandez, Arriel</t>
  </si>
  <si>
    <t>AHernandez641@MY.SCCCD.EDU</t>
  </si>
  <si>
    <t>Cuevas Romero, Ana</t>
  </si>
  <si>
    <t>ADCuevasRomero1@MY.SCCCD.EDU</t>
  </si>
  <si>
    <t>Hernandez Salcedo, Belen</t>
  </si>
  <si>
    <t>BGHernandezSalcedo1@MY.SCCCD.EDU</t>
  </si>
  <si>
    <t>AGarcia679@MY.SCCCD.EDU</t>
  </si>
  <si>
    <t>Q</t>
  </si>
  <si>
    <t>mean</t>
  </si>
  <si>
    <t>std dev</t>
  </si>
  <si>
    <t>max</t>
  </si>
  <si>
    <t>min</t>
  </si>
  <si>
    <t>count</t>
  </si>
  <si>
    <t>Gifted</t>
  </si>
  <si>
    <t>Updated Keys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</si>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</sst>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.0"/>
  </numFmts>
  <fonts count="5" x14ac:knownFonts="1">
    <font>
      <sz val="10"/>
      <name val="Tahoma"/>
    </font>
    <font>
      <sz val="10"/>
      <name val="Tahoma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899960325937681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2" borderId="0" xfId="1" applyAlignment="1">
      <alignment horizontal="center"/>
    </xf>
    <xf numFmtId="165" fontId="0" fillId="3" borderId="0" xfId="0" applyNumberFormat="1" applyFill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2"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6"/>
  <sheetViews>
    <sheetView tabSelected="1" workbookViewId="0">
      <selection activeCell="J56" sqref="J56"/>
    </sheetView>
  </sheetViews>
  <sheetFormatPr defaultColWidth="9.140625" defaultRowHeight="12.75" x14ac:dyDescent="0.2"/>
  <cols>
    <col min="1" max="1" width="11.140625" style="3" customWidth="1"/>
    <col min="2" max="2" width="34.42578125" customWidth="1"/>
    <col min="3" max="3" width="13.85546875" bestFit="1" customWidth="1"/>
    <col min="4" max="4" width="36" customWidth="1"/>
    <col min="5" max="6" width="8.7109375" customWidth="1"/>
    <col min="7" max="7" width="6.7109375" customWidth="1"/>
    <col min="8" max="8" width="8.7109375" customWidth="1"/>
    <col min="9" max="9" width="6.85546875" customWidth="1"/>
    <col min="10" max="10" width="8.85546875" style="3" customWidth="1"/>
    <col min="11" max="11" width="6.7109375" style="3" customWidth="1"/>
    <col min="12" max="46" width="6.5703125" style="3" customWidth="1"/>
  </cols>
  <sheetData>
    <row r="1" spans="1:49" x14ac:dyDescent="0.2">
      <c r="J1" s="3" t="s">
        <v>0</v>
      </c>
    </row>
    <row r="2" spans="1:49" x14ac:dyDescent="0.2">
      <c r="H2" s="23" t="s">
        <v>93</v>
      </c>
      <c r="I2" s="23"/>
      <c r="J2" s="6" t="s">
        <v>4</v>
      </c>
      <c r="K2" s="6"/>
      <c r="L2" s="6" t="s">
        <v>4</v>
      </c>
      <c r="M2" s="6" t="s">
        <v>7</v>
      </c>
      <c r="N2" s="6" t="s">
        <v>6</v>
      </c>
      <c r="O2" s="6" t="s">
        <v>5</v>
      </c>
      <c r="P2" s="6" t="s">
        <v>5</v>
      </c>
      <c r="Q2" s="6" t="s">
        <v>5</v>
      </c>
      <c r="R2" s="6" t="s">
        <v>7</v>
      </c>
      <c r="S2" s="6" t="s">
        <v>6</v>
      </c>
      <c r="T2" s="6" t="s">
        <v>6</v>
      </c>
      <c r="U2" s="6" t="s">
        <v>4</v>
      </c>
      <c r="V2" s="6" t="s">
        <v>7</v>
      </c>
      <c r="W2" s="6" t="s">
        <v>5</v>
      </c>
      <c r="X2" s="6" t="s">
        <v>6</v>
      </c>
      <c r="Y2" s="6" t="s">
        <v>5</v>
      </c>
      <c r="Z2" s="6" t="s">
        <v>5</v>
      </c>
      <c r="AA2" s="6" t="s">
        <v>4</v>
      </c>
      <c r="AB2" s="6" t="s">
        <v>6</v>
      </c>
      <c r="AC2" s="6" t="s">
        <v>4</v>
      </c>
      <c r="AD2" s="6" t="s">
        <v>6</v>
      </c>
      <c r="AE2" s="6" t="s">
        <v>6</v>
      </c>
      <c r="AF2" s="6" t="s">
        <v>7</v>
      </c>
      <c r="AG2" s="6" t="s">
        <v>7</v>
      </c>
      <c r="AH2" s="6" t="s">
        <v>6</v>
      </c>
      <c r="AI2" s="6" t="s">
        <v>5</v>
      </c>
      <c r="AJ2" s="6" t="s">
        <v>5</v>
      </c>
      <c r="AK2" s="6" t="s">
        <v>5</v>
      </c>
      <c r="AL2" s="6" t="s">
        <v>4</v>
      </c>
      <c r="AM2" s="6" t="s">
        <v>4</v>
      </c>
      <c r="AN2" s="6" t="s">
        <v>5</v>
      </c>
      <c r="AO2" s="6" t="s">
        <v>4</v>
      </c>
      <c r="AP2" s="6" t="s">
        <v>4</v>
      </c>
      <c r="AQ2" s="6" t="s">
        <v>5</v>
      </c>
      <c r="AR2" s="6" t="s">
        <v>4</v>
      </c>
      <c r="AS2" s="6" t="s">
        <v>5</v>
      </c>
      <c r="AT2" s="6" t="s">
        <v>4</v>
      </c>
    </row>
    <row r="3" spans="1:49" ht="13.5" x14ac:dyDescent="0.25">
      <c r="E3" s="20" t="s">
        <v>131</v>
      </c>
      <c r="F3" s="20"/>
      <c r="J3" s="6" t="s">
        <v>5</v>
      </c>
      <c r="K3" s="6"/>
      <c r="L3" s="6" t="s">
        <v>5</v>
      </c>
      <c r="M3" s="6" t="s">
        <v>4</v>
      </c>
      <c r="N3" s="6" t="s">
        <v>7</v>
      </c>
      <c r="O3" s="6" t="s">
        <v>5</v>
      </c>
      <c r="P3" s="6" t="s">
        <v>6</v>
      </c>
      <c r="Q3" s="6" t="s">
        <v>5</v>
      </c>
      <c r="R3" s="6" t="s">
        <v>7</v>
      </c>
      <c r="S3" s="6" t="s">
        <v>6</v>
      </c>
      <c r="T3" s="6" t="s">
        <v>6</v>
      </c>
      <c r="U3" s="6" t="s">
        <v>4</v>
      </c>
      <c r="V3" s="6" t="s">
        <v>4</v>
      </c>
      <c r="W3" s="6" t="s">
        <v>7</v>
      </c>
      <c r="X3" s="6" t="s">
        <v>6</v>
      </c>
      <c r="Y3" s="6" t="s">
        <v>5</v>
      </c>
      <c r="Z3" s="6" t="s">
        <v>5</v>
      </c>
      <c r="AA3" s="6" t="s">
        <v>6</v>
      </c>
      <c r="AB3" s="6" t="s">
        <v>5</v>
      </c>
      <c r="AC3" s="6" t="s">
        <v>4</v>
      </c>
      <c r="AD3" s="6" t="s">
        <v>6</v>
      </c>
      <c r="AE3" s="6" t="s">
        <v>6</v>
      </c>
      <c r="AF3" s="6" t="s">
        <v>5</v>
      </c>
      <c r="AG3" s="6" t="s">
        <v>6</v>
      </c>
      <c r="AH3" s="6" t="s">
        <v>7</v>
      </c>
      <c r="AI3" s="6" t="s">
        <v>7</v>
      </c>
      <c r="AJ3" s="6" t="s">
        <v>5</v>
      </c>
      <c r="AK3" s="6" t="s">
        <v>5</v>
      </c>
      <c r="AL3" s="6" t="s">
        <v>4</v>
      </c>
      <c r="AM3" s="6" t="s">
        <v>4</v>
      </c>
      <c r="AN3" s="6" t="s">
        <v>5</v>
      </c>
      <c r="AO3" s="6" t="s">
        <v>4</v>
      </c>
      <c r="AP3" s="6" t="s">
        <v>4</v>
      </c>
      <c r="AQ3" s="6" t="s">
        <v>5</v>
      </c>
      <c r="AR3" s="6" t="s">
        <v>4</v>
      </c>
      <c r="AS3" s="6" t="s">
        <v>5</v>
      </c>
      <c r="AT3" s="6" t="s">
        <v>4</v>
      </c>
    </row>
    <row r="4" spans="1:49" ht="12.75" customHeight="1" x14ac:dyDescent="0.2">
      <c r="E4" s="19" t="s">
        <v>132</v>
      </c>
      <c r="F4" s="19" t="s">
        <v>133</v>
      </c>
      <c r="G4" s="19" t="s">
        <v>134</v>
      </c>
      <c r="H4" s="19" t="s">
        <v>135</v>
      </c>
      <c r="I4" s="21" t="s">
        <v>136</v>
      </c>
      <c r="J4" s="22" t="s">
        <v>129</v>
      </c>
      <c r="K4" s="22" t="s">
        <v>130</v>
      </c>
    </row>
    <row r="5" spans="1:49" ht="14.25" customHeight="1" x14ac:dyDescent="0.25">
      <c r="A5" s="8" t="s">
        <v>1</v>
      </c>
      <c r="B5" s="1" t="s">
        <v>2</v>
      </c>
      <c r="C5" s="2" t="s">
        <v>3</v>
      </c>
      <c r="D5" s="1" t="s">
        <v>10</v>
      </c>
      <c r="E5" s="19"/>
      <c r="F5" s="19"/>
      <c r="G5" s="19"/>
      <c r="H5" s="19"/>
      <c r="I5" s="21"/>
      <c r="J5" s="22"/>
      <c r="K5" s="22"/>
      <c r="L5" s="3" t="s">
        <v>94</v>
      </c>
      <c r="M5" s="3" t="s">
        <v>95</v>
      </c>
      <c r="N5" s="3" t="s">
        <v>96</v>
      </c>
      <c r="O5" s="17" t="s">
        <v>97</v>
      </c>
      <c r="P5" s="3" t="s">
        <v>98</v>
      </c>
      <c r="Q5" s="3" t="s">
        <v>99</v>
      </c>
      <c r="R5" s="3" t="s">
        <v>100</v>
      </c>
      <c r="S5" s="3" t="s">
        <v>101</v>
      </c>
      <c r="T5" s="3" t="s">
        <v>102</v>
      </c>
      <c r="U5" s="3" t="s">
        <v>103</v>
      </c>
      <c r="V5" s="3" t="s">
        <v>104</v>
      </c>
      <c r="W5" s="3" t="s">
        <v>105</v>
      </c>
      <c r="X5" s="3" t="s">
        <v>106</v>
      </c>
      <c r="Y5" s="3" t="s">
        <v>107</v>
      </c>
      <c r="Z5" s="3" t="s">
        <v>108</v>
      </c>
      <c r="AA5" s="3" t="s">
        <v>109</v>
      </c>
      <c r="AB5" s="3" t="s">
        <v>110</v>
      </c>
      <c r="AC5" s="3" t="s">
        <v>111</v>
      </c>
      <c r="AD5" s="3" t="s">
        <v>112</v>
      </c>
      <c r="AE5" s="3" t="s">
        <v>113</v>
      </c>
      <c r="AF5" s="3" t="s">
        <v>114</v>
      </c>
      <c r="AG5" s="3" t="s">
        <v>115</v>
      </c>
      <c r="AH5" s="3" t="s">
        <v>116</v>
      </c>
      <c r="AI5" s="3" t="s">
        <v>117</v>
      </c>
      <c r="AJ5" s="3" t="s">
        <v>118</v>
      </c>
      <c r="AK5" s="3" t="s">
        <v>119</v>
      </c>
      <c r="AL5" s="3" t="s">
        <v>120</v>
      </c>
      <c r="AM5" s="3" t="s">
        <v>121</v>
      </c>
      <c r="AN5" s="3" t="s">
        <v>122</v>
      </c>
      <c r="AO5" s="3" t="s">
        <v>123</v>
      </c>
      <c r="AP5" s="3" t="s">
        <v>124</v>
      </c>
      <c r="AQ5" s="3" t="s">
        <v>125</v>
      </c>
      <c r="AR5" s="3" t="s">
        <v>126</v>
      </c>
      <c r="AS5" s="3" t="s">
        <v>127</v>
      </c>
      <c r="AT5" s="3" t="s">
        <v>128</v>
      </c>
    </row>
    <row r="6" spans="1:49" ht="12.75" customHeight="1" x14ac:dyDescent="0.25">
      <c r="A6" s="7">
        <v>345856</v>
      </c>
      <c r="B6" t="s">
        <v>41</v>
      </c>
      <c r="C6" s="3">
        <v>43957</v>
      </c>
      <c r="D6" t="s">
        <v>42</v>
      </c>
      <c r="E6" s="3" cm="1">
        <f t="array" ref="E6">SUMPRODUCT(--(L6:AJ6=IF(K6="A",$L$2:$AJ$2,$L$3:$AJ$3)))</f>
        <v>9</v>
      </c>
      <c r="F6" s="3" cm="1">
        <f t="array" ref="F6">SUMPRODUCT(--(AK6:AT6=IF(K6="A",$AK$2:$AT$2,$AK$3:$AT$3)))</f>
        <v>8</v>
      </c>
      <c r="G6" s="3">
        <f t="shared" ref="G6:G37" si="0">E6*3+F6</f>
        <v>35</v>
      </c>
      <c r="H6" s="10">
        <f t="shared" ref="H6:H37" si="1">G6*100/85</f>
        <v>41.176470588235297</v>
      </c>
      <c r="I6" s="11">
        <f>(H6-$H$58)/$H$59</f>
        <v>-0.88269421811452808</v>
      </c>
      <c r="J6" s="3" t="s">
        <v>5</v>
      </c>
      <c r="K6" s="3" t="s">
        <v>5</v>
      </c>
      <c r="L6" s="3" t="s">
        <v>4</v>
      </c>
      <c r="M6" s="3" t="s">
        <v>6</v>
      </c>
      <c r="N6" s="3" t="s">
        <v>7</v>
      </c>
      <c r="O6" s="17" t="s">
        <v>5</v>
      </c>
      <c r="P6" s="3" t="s">
        <v>5</v>
      </c>
      <c r="Q6" s="3" t="s">
        <v>7</v>
      </c>
      <c r="R6" s="3" t="s">
        <v>5</v>
      </c>
      <c r="S6" s="3" t="s">
        <v>7</v>
      </c>
      <c r="T6" s="3" t="s">
        <v>7</v>
      </c>
      <c r="U6" s="3" t="s">
        <v>7</v>
      </c>
      <c r="V6" s="3" t="s">
        <v>6</v>
      </c>
      <c r="W6" s="3" t="s">
        <v>7</v>
      </c>
      <c r="X6" s="3" t="s">
        <v>6</v>
      </c>
      <c r="Y6" s="3" t="s">
        <v>4</v>
      </c>
      <c r="Z6" s="3" t="s">
        <v>5</v>
      </c>
      <c r="AA6" s="3" t="s">
        <v>4</v>
      </c>
      <c r="AB6" s="3" t="s">
        <v>6</v>
      </c>
      <c r="AC6" s="3" t="s">
        <v>4</v>
      </c>
      <c r="AD6" s="3" t="s">
        <v>7</v>
      </c>
      <c r="AE6" s="3" t="s">
        <v>6</v>
      </c>
      <c r="AF6" s="3" t="s">
        <v>4</v>
      </c>
      <c r="AG6" s="3" t="s">
        <v>4</v>
      </c>
      <c r="AH6" s="3" t="s">
        <v>7</v>
      </c>
      <c r="AI6" s="3" t="s">
        <v>7</v>
      </c>
      <c r="AJ6" s="3" t="s">
        <v>9</v>
      </c>
      <c r="AK6" s="3" t="s">
        <v>5</v>
      </c>
      <c r="AL6" s="3" t="s">
        <v>4</v>
      </c>
      <c r="AM6" s="3" t="s">
        <v>4</v>
      </c>
      <c r="AN6" s="3" t="s">
        <v>5</v>
      </c>
      <c r="AO6" s="3" t="s">
        <v>5</v>
      </c>
      <c r="AP6" s="3" t="s">
        <v>4</v>
      </c>
      <c r="AQ6" s="3" t="s">
        <v>4</v>
      </c>
      <c r="AR6" s="3" t="s">
        <v>4</v>
      </c>
      <c r="AS6" s="3" t="s">
        <v>5</v>
      </c>
      <c r="AT6" s="3" t="s">
        <v>4</v>
      </c>
    </row>
    <row r="7" spans="1:49" ht="12.75" customHeight="1" x14ac:dyDescent="0.25">
      <c r="A7" s="7">
        <v>490011</v>
      </c>
      <c r="B7" t="s">
        <v>29</v>
      </c>
      <c r="C7" s="3">
        <v>43957</v>
      </c>
      <c r="D7" t="s">
        <v>30</v>
      </c>
      <c r="E7" s="3" cm="1">
        <f t="array" ref="E7">SUMPRODUCT(--(L7:AJ7=IF(K7="A",$L$2:$AJ$2,$L$3:$AJ$3)))</f>
        <v>10</v>
      </c>
      <c r="F7" s="3" cm="1">
        <f t="array" ref="F7">SUMPRODUCT(--(AK7:AT7=IF(K7="A",$AK$2:$AT$2,$AK$3:$AT$3)))</f>
        <v>3</v>
      </c>
      <c r="G7" s="3">
        <f t="shared" si="0"/>
        <v>33</v>
      </c>
      <c r="H7" s="10">
        <f t="shared" si="1"/>
        <v>38.823529411764703</v>
      </c>
      <c r="I7" s="11">
        <f t="shared" ref="I7:I56" si="2">(H7-$H$58)/$H$59</f>
        <v>-1.0043628806113958</v>
      </c>
      <c r="J7" s="3" t="s">
        <v>5</v>
      </c>
      <c r="K7" s="3" t="s">
        <v>5</v>
      </c>
      <c r="L7" s="3" t="s">
        <v>4</v>
      </c>
      <c r="M7" s="3" t="s">
        <v>4</v>
      </c>
      <c r="N7" s="3" t="s">
        <v>7</v>
      </c>
      <c r="O7" s="17" t="s">
        <v>5</v>
      </c>
      <c r="P7" s="3" t="s">
        <v>4</v>
      </c>
      <c r="Q7" s="3" t="s">
        <v>5</v>
      </c>
      <c r="R7" s="3" t="s">
        <v>7</v>
      </c>
      <c r="S7" s="3" t="s">
        <v>5</v>
      </c>
      <c r="T7" s="3" t="s">
        <v>5</v>
      </c>
      <c r="U7" s="3" t="s">
        <v>6</v>
      </c>
      <c r="V7" s="3" t="s">
        <v>5</v>
      </c>
      <c r="W7" s="3" t="s">
        <v>4</v>
      </c>
      <c r="X7" s="3" t="s">
        <v>6</v>
      </c>
      <c r="Y7" s="3" t="s">
        <v>7</v>
      </c>
      <c r="Z7" s="3" t="s">
        <v>5</v>
      </c>
      <c r="AA7" s="3" t="s">
        <v>4</v>
      </c>
      <c r="AB7" s="3" t="s">
        <v>6</v>
      </c>
      <c r="AC7" s="3" t="s">
        <v>6</v>
      </c>
      <c r="AD7" s="3" t="s">
        <v>4</v>
      </c>
      <c r="AE7" s="3" t="s">
        <v>6</v>
      </c>
      <c r="AF7" s="3" t="s">
        <v>9</v>
      </c>
      <c r="AG7" s="3" t="s">
        <v>5</v>
      </c>
      <c r="AH7" s="3" t="s">
        <v>4</v>
      </c>
      <c r="AI7" s="3" t="s">
        <v>7</v>
      </c>
      <c r="AJ7" s="3" t="s">
        <v>5</v>
      </c>
      <c r="AK7" s="3" t="s">
        <v>4</v>
      </c>
      <c r="AL7" s="3" t="s">
        <v>5</v>
      </c>
      <c r="AM7" s="3" t="s">
        <v>4</v>
      </c>
      <c r="AN7" s="3" t="s">
        <v>4</v>
      </c>
      <c r="AO7" s="3" t="s">
        <v>4</v>
      </c>
      <c r="AP7" s="3" t="s">
        <v>4</v>
      </c>
      <c r="AQ7" s="3" t="s">
        <v>4</v>
      </c>
      <c r="AR7" s="3" t="s">
        <v>5</v>
      </c>
      <c r="AS7" s="3" t="s">
        <v>4</v>
      </c>
      <c r="AT7" s="3" t="s">
        <v>5</v>
      </c>
    </row>
    <row r="8" spans="1:49" ht="15" x14ac:dyDescent="0.25">
      <c r="A8" s="7">
        <v>523330</v>
      </c>
      <c r="B8" t="s">
        <v>65</v>
      </c>
      <c r="C8" s="3">
        <v>43957</v>
      </c>
      <c r="D8" t="s">
        <v>66</v>
      </c>
      <c r="E8" s="3" cm="1">
        <f t="array" ref="E8">SUMPRODUCT(--(L8:AJ8=IF(K8="A",$L$2:$AJ$2,$L$3:$AJ$3)))</f>
        <v>15</v>
      </c>
      <c r="F8" s="3" cm="1">
        <f t="array" ref="F8">SUMPRODUCT(--(AK8:AT8=IF(K8="A",$AK$2:$AT$2,$AK$3:$AT$3)))</f>
        <v>8</v>
      </c>
      <c r="G8" s="3">
        <f t="shared" si="0"/>
        <v>53</v>
      </c>
      <c r="H8" s="10">
        <f t="shared" si="1"/>
        <v>62.352941176470587</v>
      </c>
      <c r="I8" s="11">
        <f t="shared" si="2"/>
        <v>0.21232374435727785</v>
      </c>
      <c r="J8" s="3" t="s">
        <v>5</v>
      </c>
      <c r="K8" s="3" t="s">
        <v>5</v>
      </c>
      <c r="L8" s="3" t="s">
        <v>5</v>
      </c>
      <c r="M8" s="3" t="s">
        <v>4</v>
      </c>
      <c r="N8" s="3" t="s">
        <v>7</v>
      </c>
      <c r="O8" s="17" t="s">
        <v>5</v>
      </c>
      <c r="P8" s="3" t="s">
        <v>4</v>
      </c>
      <c r="Q8" s="3" t="s">
        <v>5</v>
      </c>
      <c r="R8" s="3" t="s">
        <v>4</v>
      </c>
      <c r="S8" s="3" t="s">
        <v>6</v>
      </c>
      <c r="T8" s="3" t="s">
        <v>6</v>
      </c>
      <c r="U8" s="3" t="s">
        <v>6</v>
      </c>
      <c r="V8" s="3" t="s">
        <v>4</v>
      </c>
      <c r="W8" s="3" t="s">
        <v>6</v>
      </c>
      <c r="X8" s="3" t="s">
        <v>6</v>
      </c>
      <c r="Y8" s="3" t="s">
        <v>4</v>
      </c>
      <c r="Z8" s="3" t="s">
        <v>5</v>
      </c>
      <c r="AA8" s="3" t="s">
        <v>4</v>
      </c>
      <c r="AB8" s="3" t="s">
        <v>5</v>
      </c>
      <c r="AC8" s="3" t="s">
        <v>4</v>
      </c>
      <c r="AD8" s="3" t="s">
        <v>7</v>
      </c>
      <c r="AE8" s="3" t="s">
        <v>4</v>
      </c>
      <c r="AF8" s="3" t="s">
        <v>5</v>
      </c>
      <c r="AG8" s="3" t="s">
        <v>6</v>
      </c>
      <c r="AH8" s="3" t="s">
        <v>4</v>
      </c>
      <c r="AI8" s="3" t="s">
        <v>6</v>
      </c>
      <c r="AJ8" s="3" t="s">
        <v>5</v>
      </c>
      <c r="AK8" s="3" t="s">
        <v>5</v>
      </c>
      <c r="AL8" s="3" t="s">
        <v>4</v>
      </c>
      <c r="AM8" s="3" t="s">
        <v>5</v>
      </c>
      <c r="AN8" s="3" t="s">
        <v>5</v>
      </c>
      <c r="AO8" s="3" t="s">
        <v>5</v>
      </c>
      <c r="AP8" s="3" t="s">
        <v>4</v>
      </c>
      <c r="AQ8" s="3" t="s">
        <v>5</v>
      </c>
      <c r="AR8" s="3" t="s">
        <v>4</v>
      </c>
      <c r="AS8" s="3" t="s">
        <v>5</v>
      </c>
      <c r="AT8" s="3" t="s">
        <v>4</v>
      </c>
    </row>
    <row r="9" spans="1:49" ht="15" x14ac:dyDescent="0.25">
      <c r="A9" s="7">
        <v>547169</v>
      </c>
      <c r="B9" t="s">
        <v>73</v>
      </c>
      <c r="C9" s="3">
        <v>43958</v>
      </c>
      <c r="D9" t="s">
        <v>74</v>
      </c>
      <c r="E9" s="3" cm="1">
        <f t="array" ref="E9">SUMPRODUCT(--(L9:AJ9=IF(K9="A",$L$2:$AJ$2,$L$3:$AJ$3)))</f>
        <v>18</v>
      </c>
      <c r="F9" s="3" cm="1">
        <f t="array" ref="F9">SUMPRODUCT(--(AK9:AT9=IF(K9="A",$AK$2:$AT$2,$AK$3:$AT$3)))</f>
        <v>9</v>
      </c>
      <c r="G9" s="3">
        <f t="shared" si="0"/>
        <v>63</v>
      </c>
      <c r="H9" s="10">
        <f t="shared" si="1"/>
        <v>74.117647058823536</v>
      </c>
      <c r="I9" s="11">
        <f t="shared" si="2"/>
        <v>0.82066705684161501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7</v>
      </c>
      <c r="O9" s="17" t="s">
        <v>5</v>
      </c>
      <c r="P9" s="3" t="s">
        <v>5</v>
      </c>
      <c r="Q9" s="3" t="s">
        <v>5</v>
      </c>
      <c r="R9" s="3" t="s">
        <v>7</v>
      </c>
      <c r="S9" s="3" t="s">
        <v>6</v>
      </c>
      <c r="T9" s="3" t="s">
        <v>6</v>
      </c>
      <c r="U9" s="3" t="s">
        <v>4</v>
      </c>
      <c r="V9" s="3" t="s">
        <v>5</v>
      </c>
      <c r="W9" s="3" t="s">
        <v>5</v>
      </c>
      <c r="X9" s="3" t="s">
        <v>6</v>
      </c>
      <c r="Y9" s="3" t="s">
        <v>4</v>
      </c>
      <c r="Z9" s="3" t="s">
        <v>5</v>
      </c>
      <c r="AA9" s="3" t="s">
        <v>4</v>
      </c>
      <c r="AB9" s="3" t="s">
        <v>4</v>
      </c>
      <c r="AC9" s="3" t="s">
        <v>4</v>
      </c>
      <c r="AD9" s="3" t="s">
        <v>6</v>
      </c>
      <c r="AE9" s="3" t="s">
        <v>5</v>
      </c>
      <c r="AF9" s="3" t="s">
        <v>7</v>
      </c>
      <c r="AG9" s="3" t="s">
        <v>7</v>
      </c>
      <c r="AH9" s="3" t="s">
        <v>6</v>
      </c>
      <c r="AI9" s="3" t="s">
        <v>4</v>
      </c>
      <c r="AJ9" s="3" t="s">
        <v>5</v>
      </c>
      <c r="AK9" s="3" t="s">
        <v>5</v>
      </c>
      <c r="AL9" s="3" t="s">
        <v>5</v>
      </c>
      <c r="AM9" s="3" t="s">
        <v>4</v>
      </c>
      <c r="AN9" s="3" t="s">
        <v>5</v>
      </c>
      <c r="AO9" s="3" t="s">
        <v>4</v>
      </c>
      <c r="AP9" s="3" t="s">
        <v>4</v>
      </c>
      <c r="AQ9" s="3" t="s">
        <v>5</v>
      </c>
      <c r="AR9" s="3" t="s">
        <v>4</v>
      </c>
      <c r="AS9" s="3" t="s">
        <v>5</v>
      </c>
      <c r="AT9" s="3" t="s">
        <v>4</v>
      </c>
    </row>
    <row r="10" spans="1:49" ht="15" x14ac:dyDescent="0.25">
      <c r="A10" s="7">
        <v>574404</v>
      </c>
      <c r="B10" t="s">
        <v>69</v>
      </c>
      <c r="C10" s="3">
        <v>43958</v>
      </c>
      <c r="D10" t="s">
        <v>70</v>
      </c>
      <c r="E10" s="3" cm="1">
        <f t="array" ref="E10">SUMPRODUCT(--(L10:AJ10=IF(K10="A",$L$2:$AJ$2,$L$3:$AJ$3)))</f>
        <v>10</v>
      </c>
      <c r="F10" s="3" cm="1">
        <f t="array" ref="F10">SUMPRODUCT(--(AK10:AT10=IF(K10="A",$AK$2:$AT$2,$AK$3:$AT$3)))</f>
        <v>8</v>
      </c>
      <c r="G10" s="3">
        <f t="shared" si="0"/>
        <v>38</v>
      </c>
      <c r="H10" s="10">
        <f t="shared" si="1"/>
        <v>44.705882352941174</v>
      </c>
      <c r="I10" s="11">
        <f t="shared" si="2"/>
        <v>-0.70019122436922732</v>
      </c>
      <c r="J10" s="3" t="s">
        <v>5</v>
      </c>
      <c r="K10" s="3" t="s">
        <v>5</v>
      </c>
      <c r="L10" s="3" t="s">
        <v>4</v>
      </c>
      <c r="M10" s="3" t="s">
        <v>6</v>
      </c>
      <c r="N10" s="3" t="s">
        <v>9</v>
      </c>
      <c r="O10" s="17" t="s">
        <v>5</v>
      </c>
      <c r="P10" s="3" t="s">
        <v>7</v>
      </c>
      <c r="Q10" s="3" t="s">
        <v>6</v>
      </c>
      <c r="R10" s="3" t="s">
        <v>7</v>
      </c>
      <c r="S10" s="3" t="s">
        <v>6</v>
      </c>
      <c r="T10" s="3" t="s">
        <v>6</v>
      </c>
      <c r="U10" s="3" t="s">
        <v>5</v>
      </c>
      <c r="V10" s="3" t="s">
        <v>4</v>
      </c>
      <c r="W10" s="3" t="s">
        <v>4</v>
      </c>
      <c r="X10" s="3" t="s">
        <v>7</v>
      </c>
      <c r="Y10" s="3" t="s">
        <v>7</v>
      </c>
      <c r="Z10" s="3" t="s">
        <v>5</v>
      </c>
      <c r="AA10" s="3" t="s">
        <v>6</v>
      </c>
      <c r="AB10" s="3" t="s">
        <v>4</v>
      </c>
      <c r="AC10" s="3" t="s">
        <v>6</v>
      </c>
      <c r="AD10" s="3" t="s">
        <v>5</v>
      </c>
      <c r="AE10" s="3" t="s">
        <v>6</v>
      </c>
      <c r="AF10" s="3" t="s">
        <v>4</v>
      </c>
      <c r="AG10" s="3" t="s">
        <v>5</v>
      </c>
      <c r="AH10" s="3" t="s">
        <v>7</v>
      </c>
      <c r="AI10" s="3" t="s">
        <v>7</v>
      </c>
      <c r="AJ10" s="3" t="s">
        <v>4</v>
      </c>
      <c r="AK10" s="3" t="s">
        <v>5</v>
      </c>
      <c r="AL10" s="3" t="s">
        <v>4</v>
      </c>
      <c r="AM10" s="3" t="s">
        <v>4</v>
      </c>
      <c r="AN10" s="3" t="s">
        <v>4</v>
      </c>
      <c r="AO10" s="3" t="s">
        <v>5</v>
      </c>
      <c r="AP10" s="3" t="s">
        <v>4</v>
      </c>
      <c r="AQ10" s="3" t="s">
        <v>5</v>
      </c>
      <c r="AR10" s="3" t="s">
        <v>4</v>
      </c>
      <c r="AS10" s="3" t="s">
        <v>5</v>
      </c>
      <c r="AT10" s="3" t="s">
        <v>4</v>
      </c>
    </row>
    <row r="11" spans="1:49" ht="15" x14ac:dyDescent="0.25">
      <c r="A11" s="7">
        <v>576373</v>
      </c>
      <c r="B11" t="s">
        <v>19</v>
      </c>
      <c r="C11" s="3">
        <v>43957</v>
      </c>
      <c r="D11" t="s">
        <v>20</v>
      </c>
      <c r="E11" s="3" cm="1">
        <f t="array" ref="E11">SUMPRODUCT(--(L11:AJ11=IF(K11="A",$L$2:$AJ$2,$L$3:$AJ$3)))</f>
        <v>15</v>
      </c>
      <c r="F11" s="3" cm="1">
        <f t="array" ref="F11">SUMPRODUCT(--(AK11:AT11=IF(K11="A",$AK$2:$AT$2,$AK$3:$AT$3)))</f>
        <v>8</v>
      </c>
      <c r="G11" s="3">
        <f t="shared" si="0"/>
        <v>53</v>
      </c>
      <c r="H11" s="10">
        <f t="shared" si="1"/>
        <v>62.352941176470587</v>
      </c>
      <c r="I11" s="11">
        <f t="shared" si="2"/>
        <v>0.21232374435727785</v>
      </c>
      <c r="J11" s="3" t="s">
        <v>5</v>
      </c>
      <c r="K11" s="3" t="s">
        <v>5</v>
      </c>
      <c r="L11" s="3" t="s">
        <v>5</v>
      </c>
      <c r="M11" s="3" t="s">
        <v>4</v>
      </c>
      <c r="N11" s="3" t="s">
        <v>7</v>
      </c>
      <c r="O11" s="17" t="s">
        <v>5</v>
      </c>
      <c r="P11" s="3" t="s">
        <v>7</v>
      </c>
      <c r="Q11" s="3" t="s">
        <v>5</v>
      </c>
      <c r="R11" s="3" t="s">
        <v>7</v>
      </c>
      <c r="S11" s="3" t="s">
        <v>6</v>
      </c>
      <c r="T11" s="3" t="s">
        <v>7</v>
      </c>
      <c r="U11" s="3" t="s">
        <v>6</v>
      </c>
      <c r="V11" s="3" t="s">
        <v>4</v>
      </c>
      <c r="W11" s="3" t="s">
        <v>7</v>
      </c>
      <c r="X11" s="3" t="s">
        <v>6</v>
      </c>
      <c r="Y11" s="3" t="s">
        <v>5</v>
      </c>
      <c r="Z11" s="3" t="s">
        <v>5</v>
      </c>
      <c r="AA11" s="3" t="s">
        <v>5</v>
      </c>
      <c r="AB11" s="3" t="s">
        <v>5</v>
      </c>
      <c r="AC11" s="3" t="s">
        <v>6</v>
      </c>
      <c r="AD11" s="3" t="s">
        <v>6</v>
      </c>
      <c r="AE11" s="3" t="s">
        <v>4</v>
      </c>
      <c r="AF11" s="3" t="s">
        <v>4</v>
      </c>
      <c r="AG11" s="3" t="s">
        <v>5</v>
      </c>
      <c r="AH11" s="3" t="s">
        <v>7</v>
      </c>
      <c r="AI11" s="3" t="s">
        <v>4</v>
      </c>
      <c r="AJ11" s="3" t="s">
        <v>4</v>
      </c>
      <c r="AK11" s="3" t="s">
        <v>5</v>
      </c>
      <c r="AL11" s="3" t="s">
        <v>5</v>
      </c>
      <c r="AM11" s="3" t="s">
        <v>4</v>
      </c>
      <c r="AN11" s="3" t="s">
        <v>5</v>
      </c>
      <c r="AO11" s="3" t="s">
        <v>4</v>
      </c>
      <c r="AP11" s="3" t="s">
        <v>5</v>
      </c>
      <c r="AQ11" s="3" t="s">
        <v>5</v>
      </c>
      <c r="AR11" s="3" t="s">
        <v>4</v>
      </c>
      <c r="AS11" s="3" t="s">
        <v>5</v>
      </c>
      <c r="AT11" s="3" t="s">
        <v>4</v>
      </c>
      <c r="AW11">
        <f>0.08205*273/100</f>
        <v>0.22399650000000002</v>
      </c>
    </row>
    <row r="12" spans="1:49" ht="15" x14ac:dyDescent="0.25">
      <c r="A12" s="7">
        <v>684403</v>
      </c>
      <c r="B12" t="s">
        <v>45</v>
      </c>
      <c r="C12" s="3">
        <v>43958</v>
      </c>
      <c r="D12" t="s">
        <v>46</v>
      </c>
      <c r="E12" s="3" cm="1">
        <f t="array" ref="E12">SUMPRODUCT(--(L12:AJ12=IF(K12="A",$L$2:$AJ$2,$L$3:$AJ$3)))</f>
        <v>17</v>
      </c>
      <c r="F12" s="3" cm="1">
        <f t="array" ref="F12">SUMPRODUCT(--(AK12:AT12=IF(K12="A",$AK$2:$AT$2,$AK$3:$AT$3)))</f>
        <v>10</v>
      </c>
      <c r="G12" s="3">
        <f t="shared" si="0"/>
        <v>61</v>
      </c>
      <c r="H12" s="10">
        <f t="shared" si="1"/>
        <v>71.764705882352942</v>
      </c>
      <c r="I12" s="11">
        <f t="shared" si="2"/>
        <v>0.69899839434474742</v>
      </c>
      <c r="J12" s="3" t="s">
        <v>4</v>
      </c>
      <c r="K12" s="3" t="s">
        <v>4</v>
      </c>
      <c r="L12" s="3" t="s">
        <v>5</v>
      </c>
      <c r="M12" s="3" t="s">
        <v>4</v>
      </c>
      <c r="N12" s="3" t="s">
        <v>6</v>
      </c>
      <c r="O12" s="17" t="s">
        <v>5</v>
      </c>
      <c r="P12" s="3" t="s">
        <v>5</v>
      </c>
      <c r="Q12" s="3" t="s">
        <v>5</v>
      </c>
      <c r="R12" s="3" t="s">
        <v>7</v>
      </c>
      <c r="S12" s="3" t="s">
        <v>6</v>
      </c>
      <c r="T12" s="3" t="s">
        <v>5</v>
      </c>
      <c r="U12" s="3" t="s">
        <v>4</v>
      </c>
      <c r="V12" s="3" t="s">
        <v>6</v>
      </c>
      <c r="W12" s="3" t="s">
        <v>5</v>
      </c>
      <c r="X12" s="3" t="s">
        <v>6</v>
      </c>
      <c r="Y12" s="3" t="s">
        <v>5</v>
      </c>
      <c r="Z12" s="3" t="s">
        <v>5</v>
      </c>
      <c r="AA12" s="3" t="s">
        <v>4</v>
      </c>
      <c r="AB12" s="3" t="s">
        <v>4</v>
      </c>
      <c r="AC12" s="3" t="s">
        <v>4</v>
      </c>
      <c r="AD12" s="3" t="s">
        <v>6</v>
      </c>
      <c r="AE12" s="3" t="s">
        <v>6</v>
      </c>
      <c r="AF12" s="3" t="s">
        <v>6</v>
      </c>
      <c r="AG12" s="3" t="s">
        <v>4</v>
      </c>
      <c r="AH12" s="3" t="s">
        <v>6</v>
      </c>
      <c r="AI12" s="3" t="s">
        <v>4</v>
      </c>
      <c r="AJ12" s="3" t="s">
        <v>5</v>
      </c>
      <c r="AK12" s="3" t="s">
        <v>5</v>
      </c>
      <c r="AL12" s="3" t="s">
        <v>4</v>
      </c>
      <c r="AM12" s="3" t="s">
        <v>4</v>
      </c>
      <c r="AN12" s="3" t="s">
        <v>5</v>
      </c>
      <c r="AO12" s="3" t="s">
        <v>4</v>
      </c>
      <c r="AP12" s="3" t="s">
        <v>4</v>
      </c>
      <c r="AQ12" s="3" t="s">
        <v>5</v>
      </c>
      <c r="AR12" s="3" t="s">
        <v>4</v>
      </c>
      <c r="AS12" s="3" t="s">
        <v>5</v>
      </c>
      <c r="AT12" s="3" t="s">
        <v>4</v>
      </c>
    </row>
    <row r="13" spans="1:49" ht="15" x14ac:dyDescent="0.25">
      <c r="A13" s="7">
        <v>694264</v>
      </c>
      <c r="B13" t="s">
        <v>11</v>
      </c>
      <c r="C13" s="3">
        <v>43957</v>
      </c>
      <c r="D13" t="s">
        <v>12</v>
      </c>
      <c r="E13" s="3" cm="1">
        <f t="array" ref="E13">SUMPRODUCT(--(L13:AJ13=IF(K13="A",$L$2:$AJ$2,$L$3:$AJ$3)))</f>
        <v>21</v>
      </c>
      <c r="F13" s="3" cm="1">
        <f t="array" ref="F13">SUMPRODUCT(--(AK13:AT13=IF(K13="A",$AK$2:$AT$2,$AK$3:$AT$3)))</f>
        <v>10</v>
      </c>
      <c r="G13" s="3">
        <f t="shared" si="0"/>
        <v>73</v>
      </c>
      <c r="H13" s="10">
        <f t="shared" si="1"/>
        <v>85.882352941176464</v>
      </c>
      <c r="I13" s="11">
        <f t="shared" si="2"/>
        <v>1.429010369325951</v>
      </c>
      <c r="J13" s="3" t="s">
        <v>5</v>
      </c>
      <c r="K13" s="3" t="s">
        <v>5</v>
      </c>
      <c r="L13" s="3" t="s">
        <v>5</v>
      </c>
      <c r="M13" s="3" t="s">
        <v>4</v>
      </c>
      <c r="N13" s="3" t="s">
        <v>7</v>
      </c>
      <c r="O13" s="17" t="s">
        <v>5</v>
      </c>
      <c r="P13" s="3" t="s">
        <v>6</v>
      </c>
      <c r="Q13" s="3" t="s">
        <v>5</v>
      </c>
      <c r="R13" s="3" t="s">
        <v>7</v>
      </c>
      <c r="S13" s="3" t="s">
        <v>6</v>
      </c>
      <c r="T13" s="3" t="s">
        <v>5</v>
      </c>
      <c r="U13" s="3" t="s">
        <v>4</v>
      </c>
      <c r="V13" s="3" t="s">
        <v>4</v>
      </c>
      <c r="W13" s="3" t="s">
        <v>7</v>
      </c>
      <c r="X13" s="3" t="s">
        <v>6</v>
      </c>
      <c r="Y13" s="3" t="s">
        <v>5</v>
      </c>
      <c r="Z13" s="3" t="s">
        <v>5</v>
      </c>
      <c r="AA13" s="3" t="s">
        <v>6</v>
      </c>
      <c r="AB13" s="3" t="s">
        <v>5</v>
      </c>
      <c r="AC13" s="3" t="s">
        <v>4</v>
      </c>
      <c r="AD13" s="3" t="s">
        <v>6</v>
      </c>
      <c r="AE13" s="3" t="s">
        <v>6</v>
      </c>
      <c r="AF13" s="3" t="s">
        <v>5</v>
      </c>
      <c r="AG13" s="3" t="s">
        <v>5</v>
      </c>
      <c r="AH13" s="3" t="s">
        <v>7</v>
      </c>
      <c r="AI13" s="3" t="s">
        <v>4</v>
      </c>
      <c r="AJ13" s="3" t="s">
        <v>4</v>
      </c>
      <c r="AK13" s="3" t="s">
        <v>5</v>
      </c>
      <c r="AL13" s="3" t="s">
        <v>4</v>
      </c>
      <c r="AM13" s="3" t="s">
        <v>4</v>
      </c>
      <c r="AN13" s="3" t="s">
        <v>5</v>
      </c>
      <c r="AO13" s="3" t="s">
        <v>4</v>
      </c>
      <c r="AP13" s="3" t="s">
        <v>4</v>
      </c>
      <c r="AQ13" s="3" t="s">
        <v>5</v>
      </c>
      <c r="AR13" s="3" t="s">
        <v>4</v>
      </c>
      <c r="AS13" s="3" t="s">
        <v>5</v>
      </c>
      <c r="AT13" s="3" t="s">
        <v>4</v>
      </c>
    </row>
    <row r="14" spans="1:49" ht="15" x14ac:dyDescent="0.25">
      <c r="A14" s="7">
        <v>737921</v>
      </c>
      <c r="B14" t="s">
        <v>25</v>
      </c>
      <c r="C14" s="3">
        <v>43957</v>
      </c>
      <c r="D14" t="s">
        <v>26</v>
      </c>
      <c r="E14" s="3" cm="1">
        <f t="array" ref="E14">SUMPRODUCT(--(L14:AJ14=IF(K14="A",$L$2:$AJ$2,$L$3:$AJ$3)))</f>
        <v>6</v>
      </c>
      <c r="F14" s="3" cm="1">
        <f t="array" ref="F14">SUMPRODUCT(--(AK14:AT14=IF(K14="A",$AK$2:$AT$2,$AK$3:$AT$3)))</f>
        <v>5</v>
      </c>
      <c r="G14" s="3">
        <f t="shared" si="0"/>
        <v>23</v>
      </c>
      <c r="H14" s="10">
        <f t="shared" si="1"/>
        <v>27.058823529411764</v>
      </c>
      <c r="I14" s="11">
        <f t="shared" si="2"/>
        <v>-1.6127061930957323</v>
      </c>
      <c r="J14" s="3" t="s">
        <v>4</v>
      </c>
      <c r="K14" s="3" t="s">
        <v>4</v>
      </c>
      <c r="L14" s="3" t="s">
        <v>7</v>
      </c>
      <c r="M14" s="3" t="s">
        <v>9</v>
      </c>
      <c r="N14" s="3" t="s">
        <v>5</v>
      </c>
      <c r="O14" s="17" t="s">
        <v>5</v>
      </c>
      <c r="P14" s="3" t="s">
        <v>5</v>
      </c>
      <c r="Q14" s="3" t="s">
        <v>4</v>
      </c>
      <c r="R14" s="3" t="s">
        <v>5</v>
      </c>
      <c r="S14" s="3" t="s">
        <v>7</v>
      </c>
      <c r="T14" s="3" t="s">
        <v>7</v>
      </c>
      <c r="U14" s="3" t="s">
        <v>7</v>
      </c>
      <c r="V14" s="3" t="s">
        <v>5</v>
      </c>
      <c r="W14" s="3" t="s">
        <v>6</v>
      </c>
      <c r="X14" s="3" t="s">
        <v>6</v>
      </c>
      <c r="Y14" s="3" t="s">
        <v>7</v>
      </c>
      <c r="Z14" s="3" t="s">
        <v>5</v>
      </c>
      <c r="AA14" s="3" t="s">
        <v>6</v>
      </c>
      <c r="AB14" s="3" t="s">
        <v>5</v>
      </c>
      <c r="AC14" s="3" t="s">
        <v>6</v>
      </c>
      <c r="AD14" s="3" t="s">
        <v>6</v>
      </c>
      <c r="AE14" s="3" t="s">
        <v>5</v>
      </c>
      <c r="AF14" s="3" t="s">
        <v>7</v>
      </c>
      <c r="AG14" s="3" t="s">
        <v>4</v>
      </c>
      <c r="AH14" s="3" t="s">
        <v>5</v>
      </c>
      <c r="AI14" s="3" t="s">
        <v>9</v>
      </c>
      <c r="AJ14" s="3" t="s">
        <v>4</v>
      </c>
      <c r="AK14" s="3" t="s">
        <v>4</v>
      </c>
      <c r="AL14" s="3" t="s">
        <v>5</v>
      </c>
      <c r="AM14" s="3" t="s">
        <v>4</v>
      </c>
      <c r="AN14" s="3" t="s">
        <v>5</v>
      </c>
      <c r="AO14" s="3" t="s">
        <v>4</v>
      </c>
      <c r="AP14" s="3" t="s">
        <v>4</v>
      </c>
      <c r="AQ14" s="3" t="s">
        <v>4</v>
      </c>
      <c r="AR14" s="3" t="s">
        <v>5</v>
      </c>
      <c r="AS14" s="3" t="s">
        <v>5</v>
      </c>
      <c r="AT14" s="3" t="s">
        <v>5</v>
      </c>
    </row>
    <row r="15" spans="1:49" ht="15" x14ac:dyDescent="0.25">
      <c r="A15" s="7">
        <v>754151</v>
      </c>
      <c r="B15" t="s">
        <v>91</v>
      </c>
      <c r="C15" s="3">
        <v>43958</v>
      </c>
      <c r="D15" t="s">
        <v>92</v>
      </c>
      <c r="E15" s="3" cm="1">
        <f t="array" ref="E15">SUMPRODUCT(--(L15:AJ15=IF(K15="A",$L$2:$AJ$2,$L$3:$AJ$3)))</f>
        <v>12</v>
      </c>
      <c r="F15" s="3" cm="1">
        <f t="array" ref="F15">SUMPRODUCT(--(AK15:AT15=IF(K15="A",$AK$2:$AT$2,$AK$3:$AT$3)))</f>
        <v>7</v>
      </c>
      <c r="G15" s="3">
        <f t="shared" si="0"/>
        <v>43</v>
      </c>
      <c r="H15" s="10">
        <f t="shared" si="1"/>
        <v>50.588235294117645</v>
      </c>
      <c r="I15" s="11">
        <f t="shared" si="2"/>
        <v>-0.39601956812705891</v>
      </c>
      <c r="J15" s="3" t="s">
        <v>4</v>
      </c>
      <c r="K15" s="3" t="s">
        <v>4</v>
      </c>
      <c r="L15" s="3" t="s">
        <v>6</v>
      </c>
      <c r="M15" s="3" t="s">
        <v>6</v>
      </c>
      <c r="N15" s="3" t="s">
        <v>5</v>
      </c>
      <c r="O15" s="17" t="s">
        <v>5</v>
      </c>
      <c r="P15" s="3" t="s">
        <v>4</v>
      </c>
      <c r="Q15" s="3" t="s">
        <v>4</v>
      </c>
      <c r="R15" s="3" t="s">
        <v>7</v>
      </c>
      <c r="S15" s="3" t="s">
        <v>6</v>
      </c>
      <c r="T15" s="3" t="s">
        <v>6</v>
      </c>
      <c r="U15" s="3" t="s">
        <v>4</v>
      </c>
      <c r="V15" s="3" t="s">
        <v>5</v>
      </c>
      <c r="W15" s="3" t="s">
        <v>6</v>
      </c>
      <c r="X15" s="3" t="s">
        <v>6</v>
      </c>
      <c r="Y15" s="3" t="s">
        <v>5</v>
      </c>
      <c r="Z15" s="3" t="s">
        <v>5</v>
      </c>
      <c r="AA15" s="3" t="s">
        <v>6</v>
      </c>
      <c r="AB15" s="3" t="s">
        <v>6</v>
      </c>
      <c r="AC15" s="3" t="s">
        <v>6</v>
      </c>
      <c r="AD15" s="3" t="s">
        <v>6</v>
      </c>
      <c r="AE15" s="3" t="s">
        <v>4</v>
      </c>
      <c r="AF15" s="3" t="s">
        <v>4</v>
      </c>
      <c r="AG15" s="3" t="s">
        <v>4</v>
      </c>
      <c r="AH15" s="3" t="s">
        <v>6</v>
      </c>
      <c r="AI15" s="3" t="s">
        <v>5</v>
      </c>
      <c r="AJ15" s="3" t="s">
        <v>4</v>
      </c>
      <c r="AK15" s="3" t="s">
        <v>5</v>
      </c>
      <c r="AL15" s="3" t="s">
        <v>4</v>
      </c>
      <c r="AM15" s="3" t="s">
        <v>5</v>
      </c>
      <c r="AN15" s="3" t="s">
        <v>5</v>
      </c>
      <c r="AO15" s="3" t="s">
        <v>5</v>
      </c>
      <c r="AP15" s="3" t="s">
        <v>4</v>
      </c>
      <c r="AQ15" s="3" t="s">
        <v>4</v>
      </c>
      <c r="AR15" s="3" t="s">
        <v>4</v>
      </c>
      <c r="AS15" s="3" t="s">
        <v>5</v>
      </c>
      <c r="AT15" s="3" t="s">
        <v>4</v>
      </c>
    </row>
    <row r="16" spans="1:49" ht="15" x14ac:dyDescent="0.25">
      <c r="A16" s="7">
        <v>759215</v>
      </c>
      <c r="B16" t="s">
        <v>17</v>
      </c>
      <c r="C16" s="3">
        <v>43958</v>
      </c>
      <c r="D16" t="s">
        <v>18</v>
      </c>
      <c r="E16" s="3" cm="1">
        <f t="array" ref="E16">SUMPRODUCT(--(L16:AJ16=IF(K16="A",$L$2:$AJ$2,$L$3:$AJ$3)))</f>
        <v>22</v>
      </c>
      <c r="F16" s="3" cm="1">
        <f t="array" ref="F16">SUMPRODUCT(--(AK16:AT16=IF(K16="A",$AK$2:$AT$2,$AK$3:$AT$3)))</f>
        <v>10</v>
      </c>
      <c r="G16" s="3">
        <f t="shared" si="0"/>
        <v>76</v>
      </c>
      <c r="H16" s="10">
        <f t="shared" si="1"/>
        <v>89.411764705882348</v>
      </c>
      <c r="I16" s="11">
        <f t="shared" si="2"/>
        <v>1.6115133630712521</v>
      </c>
      <c r="J16" s="3" t="s">
        <v>5</v>
      </c>
      <c r="K16" s="3" t="s">
        <v>5</v>
      </c>
      <c r="L16" s="3" t="s">
        <v>5</v>
      </c>
      <c r="M16" s="3" t="s">
        <v>4</v>
      </c>
      <c r="N16" s="3" t="s">
        <v>7</v>
      </c>
      <c r="O16" s="17" t="s">
        <v>5</v>
      </c>
      <c r="P16" s="3" t="s">
        <v>6</v>
      </c>
      <c r="Q16" s="3" t="s">
        <v>5</v>
      </c>
      <c r="R16" s="3" t="s">
        <v>7</v>
      </c>
      <c r="S16" s="3" t="s">
        <v>6</v>
      </c>
      <c r="T16" s="3" t="s">
        <v>6</v>
      </c>
      <c r="U16" s="3" t="s">
        <v>4</v>
      </c>
      <c r="V16" s="3" t="s">
        <v>7</v>
      </c>
      <c r="W16" s="3" t="s">
        <v>7</v>
      </c>
      <c r="X16" s="3" t="s">
        <v>6</v>
      </c>
      <c r="Y16" s="3" t="s">
        <v>5</v>
      </c>
      <c r="Z16" s="3" t="s">
        <v>5</v>
      </c>
      <c r="AA16" s="3" t="s">
        <v>6</v>
      </c>
      <c r="AB16" s="3" t="s">
        <v>5</v>
      </c>
      <c r="AC16" s="3" t="s">
        <v>4</v>
      </c>
      <c r="AD16" s="3" t="s">
        <v>6</v>
      </c>
      <c r="AE16" s="3" t="s">
        <v>6</v>
      </c>
      <c r="AF16" s="3" t="s">
        <v>7</v>
      </c>
      <c r="AG16" s="3" t="s">
        <v>6</v>
      </c>
      <c r="AH16" s="3" t="s">
        <v>7</v>
      </c>
      <c r="AI16" s="3" t="s">
        <v>7</v>
      </c>
      <c r="AJ16" s="3" t="s">
        <v>4</v>
      </c>
      <c r="AK16" s="3" t="s">
        <v>5</v>
      </c>
      <c r="AL16" s="3" t="s">
        <v>4</v>
      </c>
      <c r="AM16" s="3" t="s">
        <v>4</v>
      </c>
      <c r="AN16" s="3" t="s">
        <v>5</v>
      </c>
      <c r="AO16" s="3" t="s">
        <v>4</v>
      </c>
      <c r="AP16" s="3" t="s">
        <v>4</v>
      </c>
      <c r="AQ16" s="3" t="s">
        <v>5</v>
      </c>
      <c r="AR16" s="3" t="s">
        <v>4</v>
      </c>
      <c r="AS16" s="3" t="s">
        <v>5</v>
      </c>
      <c r="AT16" s="3" t="s">
        <v>4</v>
      </c>
    </row>
    <row r="17" spans="1:54" ht="15" x14ac:dyDescent="0.25">
      <c r="A17" s="7">
        <v>775232</v>
      </c>
      <c r="B17" t="s">
        <v>85</v>
      </c>
      <c r="C17" s="3">
        <v>43957</v>
      </c>
      <c r="D17" t="s">
        <v>86</v>
      </c>
      <c r="E17" s="3" cm="1">
        <f t="array" ref="E17">SUMPRODUCT(--(L17:AJ17=IF(K17="A",$L$2:$AJ$2,$L$3:$AJ$3)))</f>
        <v>13</v>
      </c>
      <c r="F17" s="3" cm="1">
        <f t="array" ref="F17">SUMPRODUCT(--(AK17:AT17=IF(K17="A",$AK$2:$AT$2,$AK$3:$AT$3)))</f>
        <v>10</v>
      </c>
      <c r="G17" s="3">
        <f t="shared" si="0"/>
        <v>49</v>
      </c>
      <c r="H17" s="10">
        <f t="shared" si="1"/>
        <v>57.647058823529413</v>
      </c>
      <c r="I17" s="11">
        <f t="shared" si="2"/>
        <v>-3.1013580636456706E-2</v>
      </c>
      <c r="J17" s="3" t="s">
        <v>5</v>
      </c>
      <c r="K17" s="3" t="s">
        <v>5</v>
      </c>
      <c r="L17" s="3" t="s">
        <v>5</v>
      </c>
      <c r="M17" s="3" t="s">
        <v>4</v>
      </c>
      <c r="N17" s="3" t="s">
        <v>4</v>
      </c>
      <c r="O17" s="17" t="s">
        <v>5</v>
      </c>
      <c r="P17" s="3" t="s">
        <v>7</v>
      </c>
      <c r="Q17" s="3" t="s">
        <v>5</v>
      </c>
      <c r="R17" s="3" t="s">
        <v>5</v>
      </c>
      <c r="S17" s="3" t="s">
        <v>6</v>
      </c>
      <c r="T17" s="3" t="s">
        <v>6</v>
      </c>
      <c r="U17" s="3" t="s">
        <v>4</v>
      </c>
      <c r="V17" s="3" t="s">
        <v>4</v>
      </c>
      <c r="W17" s="3" t="s">
        <v>6</v>
      </c>
      <c r="X17" s="3" t="s">
        <v>6</v>
      </c>
      <c r="Y17" s="3" t="s">
        <v>7</v>
      </c>
      <c r="Z17" s="3" t="s">
        <v>7</v>
      </c>
      <c r="AA17" s="3" t="s">
        <v>7</v>
      </c>
      <c r="AB17" s="3" t="s">
        <v>7</v>
      </c>
      <c r="AC17" s="3" t="s">
        <v>4</v>
      </c>
      <c r="AD17" s="3" t="s">
        <v>4</v>
      </c>
      <c r="AE17" s="3" t="s">
        <v>4</v>
      </c>
      <c r="AF17" s="3" t="s">
        <v>5</v>
      </c>
      <c r="AG17" s="3" t="s">
        <v>6</v>
      </c>
      <c r="AH17" s="3" t="s">
        <v>7</v>
      </c>
      <c r="AI17" s="3" t="s">
        <v>5</v>
      </c>
      <c r="AJ17" s="3" t="s">
        <v>4</v>
      </c>
      <c r="AK17" s="3" t="s">
        <v>5</v>
      </c>
      <c r="AL17" s="3" t="s">
        <v>4</v>
      </c>
      <c r="AM17" s="3" t="s">
        <v>4</v>
      </c>
      <c r="AN17" s="3" t="s">
        <v>5</v>
      </c>
      <c r="AO17" s="3" t="s">
        <v>4</v>
      </c>
      <c r="AP17" s="3" t="s">
        <v>4</v>
      </c>
      <c r="AQ17" s="3" t="s">
        <v>5</v>
      </c>
      <c r="AR17" s="3" t="s">
        <v>4</v>
      </c>
      <c r="AS17" s="3" t="s">
        <v>5</v>
      </c>
      <c r="AT17" s="3" t="s">
        <v>4</v>
      </c>
    </row>
    <row r="18" spans="1:54" ht="15" x14ac:dyDescent="0.25">
      <c r="A18" s="7">
        <v>790131</v>
      </c>
      <c r="B18" t="s">
        <v>142</v>
      </c>
      <c r="C18" s="3">
        <v>43957</v>
      </c>
      <c r="D18" t="s">
        <v>156</v>
      </c>
      <c r="E18" s="3" cm="1">
        <f t="array" ref="E18">SUMPRODUCT(--(L18:AJ18=IF(K18="A",$L$2:$AJ$2,$L$3:$AJ$3)))</f>
        <v>16</v>
      </c>
      <c r="F18" s="3" cm="1">
        <f t="array" ref="F18">SUMPRODUCT(--(AK18:AT18=IF(K18="A",$AK$2:$AT$2,$AK$3:$AT$3)))</f>
        <v>8</v>
      </c>
      <c r="G18" s="3">
        <f t="shared" si="0"/>
        <v>56</v>
      </c>
      <c r="H18" s="10">
        <f t="shared" si="1"/>
        <v>65.882352941176464</v>
      </c>
      <c r="I18" s="11">
        <f t="shared" si="2"/>
        <v>0.39482673810257862</v>
      </c>
      <c r="J18" s="3" t="s">
        <v>5</v>
      </c>
      <c r="K18" s="3" t="s">
        <v>5</v>
      </c>
      <c r="L18" s="3" t="s">
        <v>4</v>
      </c>
      <c r="M18" s="3" t="s">
        <v>5</v>
      </c>
      <c r="N18" s="3" t="s">
        <v>7</v>
      </c>
      <c r="O18" s="17" t="s">
        <v>5</v>
      </c>
      <c r="P18" s="3" t="s">
        <v>6</v>
      </c>
      <c r="Q18" s="3" t="s">
        <v>5</v>
      </c>
      <c r="R18" s="3" t="s">
        <v>7</v>
      </c>
      <c r="S18" s="3" t="s">
        <v>6</v>
      </c>
      <c r="T18" s="3" t="s">
        <v>6</v>
      </c>
      <c r="U18" s="3" t="s">
        <v>6</v>
      </c>
      <c r="V18" s="3" t="s">
        <v>4</v>
      </c>
      <c r="W18" s="3" t="s">
        <v>7</v>
      </c>
      <c r="X18" s="3" t="s">
        <v>6</v>
      </c>
      <c r="Y18" s="3" t="s">
        <v>4</v>
      </c>
      <c r="Z18" s="3" t="s">
        <v>5</v>
      </c>
      <c r="AA18" s="3" t="s">
        <v>6</v>
      </c>
      <c r="AB18" s="3" t="s">
        <v>5</v>
      </c>
      <c r="AC18" s="3" t="s">
        <v>6</v>
      </c>
      <c r="AD18" s="3" t="s">
        <v>5</v>
      </c>
      <c r="AE18" s="3" t="s">
        <v>6</v>
      </c>
      <c r="AF18" s="3" t="s">
        <v>4</v>
      </c>
      <c r="AG18" s="3" t="s">
        <v>5</v>
      </c>
      <c r="AH18" s="3" t="s">
        <v>7</v>
      </c>
      <c r="AI18" s="3" t="s">
        <v>7</v>
      </c>
      <c r="AJ18" s="3" t="s">
        <v>4</v>
      </c>
      <c r="AK18" s="3" t="s">
        <v>5</v>
      </c>
      <c r="AL18" s="3" t="s">
        <v>4</v>
      </c>
      <c r="AM18" s="3" t="s">
        <v>4</v>
      </c>
      <c r="AN18" s="3" t="s">
        <v>4</v>
      </c>
      <c r="AO18" s="3" t="s">
        <v>5</v>
      </c>
      <c r="AP18" s="3" t="s">
        <v>4</v>
      </c>
      <c r="AQ18" s="3" t="s">
        <v>5</v>
      </c>
      <c r="AR18" s="3" t="s">
        <v>4</v>
      </c>
      <c r="AS18" s="3" t="s">
        <v>5</v>
      </c>
      <c r="AT18" s="3" t="s">
        <v>4</v>
      </c>
      <c r="AU18" s="3"/>
      <c r="AV18" s="3"/>
      <c r="AW18" s="3"/>
      <c r="AX18" s="3"/>
      <c r="AY18" s="3"/>
      <c r="AZ18" s="3"/>
      <c r="BA18" s="3"/>
      <c r="BB18" s="3"/>
    </row>
    <row r="19" spans="1:54" ht="15" x14ac:dyDescent="0.25">
      <c r="A19" s="7">
        <v>792916</v>
      </c>
      <c r="B19" t="s">
        <v>57</v>
      </c>
      <c r="C19" s="3">
        <v>43958</v>
      </c>
      <c r="D19" t="s">
        <v>58</v>
      </c>
      <c r="E19" s="3" cm="1">
        <f t="array" ref="E19">SUMPRODUCT(--(L19:AJ19=IF(K19="A",$L$2:$AJ$2,$L$3:$AJ$3)))</f>
        <v>18</v>
      </c>
      <c r="F19" s="3" cm="1">
        <f t="array" ref="F19">SUMPRODUCT(--(AK19:AT19=IF(K19="A",$AK$2:$AT$2,$AK$3:$AT$3)))</f>
        <v>10</v>
      </c>
      <c r="G19" s="3">
        <f t="shared" si="0"/>
        <v>64</v>
      </c>
      <c r="H19" s="10">
        <f t="shared" si="1"/>
        <v>75.294117647058826</v>
      </c>
      <c r="I19" s="11">
        <f t="shared" si="2"/>
        <v>0.88150138809004852</v>
      </c>
      <c r="J19" s="3" t="s">
        <v>4</v>
      </c>
      <c r="K19" s="3" t="s">
        <v>4</v>
      </c>
      <c r="L19" s="3" t="s">
        <v>4</v>
      </c>
      <c r="M19" s="3" t="s">
        <v>4</v>
      </c>
      <c r="N19" s="3" t="s">
        <v>6</v>
      </c>
      <c r="O19" s="17" t="s">
        <v>5</v>
      </c>
      <c r="P19" s="3" t="s">
        <v>5</v>
      </c>
      <c r="Q19" s="3" t="s">
        <v>5</v>
      </c>
      <c r="R19" s="3" t="s">
        <v>7</v>
      </c>
      <c r="S19" s="3" t="s">
        <v>6</v>
      </c>
      <c r="T19" s="3" t="s">
        <v>6</v>
      </c>
      <c r="U19" s="3" t="s">
        <v>4</v>
      </c>
      <c r="V19" s="3" t="s">
        <v>6</v>
      </c>
      <c r="W19" s="3" t="s">
        <v>5</v>
      </c>
      <c r="X19" s="3" t="s">
        <v>6</v>
      </c>
      <c r="Y19" s="3" t="s">
        <v>7</v>
      </c>
      <c r="Z19" s="3" t="s">
        <v>5</v>
      </c>
      <c r="AA19" s="3" t="s">
        <v>5</v>
      </c>
      <c r="AB19" s="3" t="s">
        <v>6</v>
      </c>
      <c r="AC19" s="3" t="s">
        <v>4</v>
      </c>
      <c r="AD19" s="3" t="s">
        <v>6</v>
      </c>
      <c r="AE19" s="3" t="s">
        <v>5</v>
      </c>
      <c r="AF19" s="3" t="s">
        <v>7</v>
      </c>
      <c r="AG19" s="3" t="s">
        <v>4</v>
      </c>
      <c r="AH19" s="3" t="s">
        <v>6</v>
      </c>
      <c r="AI19" s="3" t="s">
        <v>5</v>
      </c>
      <c r="AJ19" s="3" t="s">
        <v>4</v>
      </c>
      <c r="AK19" s="3" t="s">
        <v>5</v>
      </c>
      <c r="AL19" s="3" t="s">
        <v>4</v>
      </c>
      <c r="AM19" s="3" t="s">
        <v>4</v>
      </c>
      <c r="AN19" s="3" t="s">
        <v>5</v>
      </c>
      <c r="AO19" s="3" t="s">
        <v>4</v>
      </c>
      <c r="AP19" s="3" t="s">
        <v>4</v>
      </c>
      <c r="AQ19" s="3" t="s">
        <v>5</v>
      </c>
      <c r="AR19" s="3" t="s">
        <v>4</v>
      </c>
      <c r="AS19" s="3" t="s">
        <v>5</v>
      </c>
      <c r="AT19" s="3" t="s">
        <v>4</v>
      </c>
    </row>
    <row r="20" spans="1:54" ht="15" x14ac:dyDescent="0.25">
      <c r="A20" s="7">
        <v>808147</v>
      </c>
      <c r="B20" t="s">
        <v>43</v>
      </c>
      <c r="C20" s="3">
        <v>43958</v>
      </c>
      <c r="D20" t="s">
        <v>44</v>
      </c>
      <c r="E20" s="3" cm="1">
        <f t="array" ref="E20">SUMPRODUCT(--(L20:AJ20=IF(K20="A",$L$2:$AJ$2,$L$3:$AJ$3)))</f>
        <v>8</v>
      </c>
      <c r="F20" s="3" cm="1">
        <f t="array" ref="F20">SUMPRODUCT(--(AK20:AT20=IF(K20="A",$AK$2:$AT$2,$AK$3:$AT$3)))</f>
        <v>6</v>
      </c>
      <c r="G20" s="3">
        <f t="shared" si="0"/>
        <v>30</v>
      </c>
      <c r="H20" s="10">
        <f t="shared" si="1"/>
        <v>35.294117647058826</v>
      </c>
      <c r="I20" s="11">
        <f t="shared" si="2"/>
        <v>-1.1868658743566964</v>
      </c>
      <c r="J20" s="3" t="s">
        <v>5</v>
      </c>
      <c r="K20" s="3" t="s">
        <v>5</v>
      </c>
      <c r="L20" s="3" t="s">
        <v>4</v>
      </c>
      <c r="M20" s="3" t="s">
        <v>6</v>
      </c>
      <c r="N20" s="3" t="s">
        <v>5</v>
      </c>
      <c r="O20" s="17" t="s">
        <v>5</v>
      </c>
      <c r="P20" s="3" t="s">
        <v>5</v>
      </c>
      <c r="Q20" s="3" t="s">
        <v>6</v>
      </c>
      <c r="R20" s="3" t="s">
        <v>7</v>
      </c>
      <c r="S20" s="3" t="s">
        <v>6</v>
      </c>
      <c r="T20" s="3" t="s">
        <v>5</v>
      </c>
      <c r="U20" s="3" t="s">
        <v>5</v>
      </c>
      <c r="V20" s="3" t="s">
        <v>4</v>
      </c>
      <c r="W20" s="3" t="s">
        <v>6</v>
      </c>
      <c r="X20" s="3" t="s">
        <v>7</v>
      </c>
      <c r="Y20" s="3" t="s">
        <v>7</v>
      </c>
      <c r="Z20" s="3" t="s">
        <v>5</v>
      </c>
      <c r="AA20" s="3" t="s">
        <v>4</v>
      </c>
      <c r="AB20" s="3" t="s">
        <v>5</v>
      </c>
      <c r="AC20" s="3" t="s">
        <v>6</v>
      </c>
      <c r="AD20" s="3" t="s">
        <v>5</v>
      </c>
      <c r="AE20" s="3" t="s">
        <v>6</v>
      </c>
      <c r="AF20" s="3" t="s">
        <v>4</v>
      </c>
      <c r="AG20" s="3" t="s">
        <v>5</v>
      </c>
      <c r="AH20" s="3" t="s">
        <v>7</v>
      </c>
      <c r="AI20" s="3" t="s">
        <v>5</v>
      </c>
      <c r="AJ20" s="3" t="s">
        <v>6</v>
      </c>
      <c r="AK20" s="3" t="s">
        <v>5</v>
      </c>
      <c r="AL20" s="3" t="s">
        <v>5</v>
      </c>
      <c r="AM20" s="3" t="s">
        <v>4</v>
      </c>
      <c r="AN20" s="3" t="s">
        <v>4</v>
      </c>
      <c r="AO20" s="3" t="s">
        <v>5</v>
      </c>
      <c r="AP20" s="3" t="s">
        <v>4</v>
      </c>
      <c r="AQ20" s="3" t="s">
        <v>5</v>
      </c>
      <c r="AR20" s="3" t="s">
        <v>4</v>
      </c>
      <c r="AS20" s="3" t="s">
        <v>5</v>
      </c>
      <c r="AT20" s="3" t="s">
        <v>5</v>
      </c>
    </row>
    <row r="21" spans="1:54" ht="15" x14ac:dyDescent="0.25">
      <c r="A21" s="7">
        <v>833771</v>
      </c>
      <c r="B21" t="s">
        <v>63</v>
      </c>
      <c r="C21" s="3">
        <v>43958</v>
      </c>
      <c r="D21" t="s">
        <v>64</v>
      </c>
      <c r="E21" s="3" cm="1">
        <f t="array" ref="E21">SUMPRODUCT(--(L21:AJ21=IF(K21="A",$L$2:$AJ$2,$L$3:$AJ$3)))</f>
        <v>9</v>
      </c>
      <c r="F21" s="3" cm="1">
        <f t="array" ref="F21">SUMPRODUCT(--(AK21:AT21=IF(K21="A",$AK$2:$AT$2,$AK$3:$AT$3)))</f>
        <v>6</v>
      </c>
      <c r="G21" s="3">
        <f t="shared" si="0"/>
        <v>33</v>
      </c>
      <c r="H21" s="10">
        <f t="shared" si="1"/>
        <v>38.823529411764703</v>
      </c>
      <c r="I21" s="11">
        <f t="shared" si="2"/>
        <v>-1.0043628806113958</v>
      </c>
      <c r="J21" s="3" t="s">
        <v>4</v>
      </c>
      <c r="K21" s="3" t="s">
        <v>4</v>
      </c>
      <c r="L21" s="3" t="s">
        <v>4</v>
      </c>
      <c r="M21" s="3" t="s">
        <v>6</v>
      </c>
      <c r="N21" s="3" t="s">
        <v>4</v>
      </c>
      <c r="O21" s="17" t="s">
        <v>5</v>
      </c>
      <c r="P21" s="3" t="s">
        <v>5</v>
      </c>
      <c r="Q21" s="3" t="s">
        <v>7</v>
      </c>
      <c r="R21" s="3" t="s">
        <v>4</v>
      </c>
      <c r="S21" s="3" t="s">
        <v>5</v>
      </c>
      <c r="T21" s="3" t="s">
        <v>6</v>
      </c>
      <c r="U21" s="3" t="s">
        <v>4</v>
      </c>
      <c r="V21" s="3" t="s">
        <v>7</v>
      </c>
      <c r="W21" s="3" t="s">
        <v>6</v>
      </c>
      <c r="X21" s="3" t="s">
        <v>7</v>
      </c>
      <c r="Y21" s="3" t="s">
        <v>5</v>
      </c>
      <c r="Z21" s="3" t="s">
        <v>6</v>
      </c>
      <c r="AA21" s="3" t="s">
        <v>7</v>
      </c>
      <c r="AB21" s="3" t="s">
        <v>4</v>
      </c>
      <c r="AC21" s="3" t="s">
        <v>6</v>
      </c>
      <c r="AD21" s="3" t="s">
        <v>6</v>
      </c>
      <c r="AE21" s="3" t="s">
        <v>5</v>
      </c>
      <c r="AF21" s="3" t="s">
        <v>5</v>
      </c>
      <c r="AG21" s="3" t="s">
        <v>7</v>
      </c>
      <c r="AH21" s="3" t="s">
        <v>5</v>
      </c>
      <c r="AI21" s="3" t="s">
        <v>4</v>
      </c>
      <c r="AJ21" s="3" t="s">
        <v>7</v>
      </c>
      <c r="AK21" s="3" t="s">
        <v>5</v>
      </c>
      <c r="AL21" s="3" t="s">
        <v>4</v>
      </c>
      <c r="AM21" s="3" t="s">
        <v>5</v>
      </c>
      <c r="AN21" s="3" t="s">
        <v>4</v>
      </c>
      <c r="AO21" s="3" t="s">
        <v>4</v>
      </c>
      <c r="AP21" s="3" t="s">
        <v>4</v>
      </c>
      <c r="AQ21" s="3" t="s">
        <v>4</v>
      </c>
      <c r="AR21" s="3" t="s">
        <v>5</v>
      </c>
      <c r="AS21" s="3" t="s">
        <v>5</v>
      </c>
      <c r="AT21" s="3" t="s">
        <v>4</v>
      </c>
    </row>
    <row r="22" spans="1:54" ht="15" x14ac:dyDescent="0.25">
      <c r="A22" s="7">
        <v>871988</v>
      </c>
      <c r="B22" t="s">
        <v>33</v>
      </c>
      <c r="C22" s="3">
        <v>43957</v>
      </c>
      <c r="D22" t="s">
        <v>34</v>
      </c>
      <c r="E22" s="3" cm="1">
        <f t="array" ref="E22">SUMPRODUCT(--(L22:AJ22=IF(K22="A",$L$2:$AJ$2,$L$3:$AJ$3)))</f>
        <v>11</v>
      </c>
      <c r="F22" s="3" cm="1">
        <f t="array" ref="F22">SUMPRODUCT(--(AK22:AT22=IF(K22="A",$AK$2:$AT$2,$AK$3:$AT$3)))</f>
        <v>6</v>
      </c>
      <c r="G22" s="3">
        <f t="shared" si="0"/>
        <v>39</v>
      </c>
      <c r="H22" s="10">
        <f t="shared" si="1"/>
        <v>45.882352941176471</v>
      </c>
      <c r="I22" s="11">
        <f t="shared" si="2"/>
        <v>-0.63935689312079347</v>
      </c>
      <c r="J22" s="3" t="s">
        <v>4</v>
      </c>
      <c r="K22" s="3" t="s">
        <v>4</v>
      </c>
      <c r="L22" s="3" t="s">
        <v>4</v>
      </c>
      <c r="M22" s="3" t="s">
        <v>9</v>
      </c>
      <c r="N22" s="3" t="s">
        <v>5</v>
      </c>
      <c r="O22" s="17" t="s">
        <v>5</v>
      </c>
      <c r="P22" s="3" t="s">
        <v>6</v>
      </c>
      <c r="Q22" s="3" t="s">
        <v>5</v>
      </c>
      <c r="R22" s="3" t="s">
        <v>7</v>
      </c>
      <c r="S22" s="3" t="s">
        <v>4</v>
      </c>
      <c r="T22" s="3" t="s">
        <v>6</v>
      </c>
      <c r="U22" s="3" t="s">
        <v>4</v>
      </c>
      <c r="V22" s="3" t="s">
        <v>7</v>
      </c>
      <c r="W22" s="3" t="s">
        <v>6</v>
      </c>
      <c r="X22" s="3" t="s">
        <v>7</v>
      </c>
      <c r="Y22" s="3" t="s">
        <v>5</v>
      </c>
      <c r="Z22" s="3" t="s">
        <v>5</v>
      </c>
      <c r="AA22" s="3" t="s">
        <v>7</v>
      </c>
      <c r="AB22" s="3" t="s">
        <v>5</v>
      </c>
      <c r="AC22" s="3" t="s">
        <v>6</v>
      </c>
      <c r="AD22" s="3" t="s">
        <v>6</v>
      </c>
      <c r="AE22" s="3" t="s">
        <v>4</v>
      </c>
      <c r="AF22" s="3" t="s">
        <v>7</v>
      </c>
      <c r="AG22" s="3" t="s">
        <v>4</v>
      </c>
      <c r="AH22" s="3" t="s">
        <v>4</v>
      </c>
      <c r="AI22" s="3" t="s">
        <v>4</v>
      </c>
      <c r="AJ22" s="3" t="s">
        <v>7</v>
      </c>
      <c r="AK22" s="3" t="s">
        <v>4</v>
      </c>
      <c r="AL22" s="3" t="s">
        <v>5</v>
      </c>
      <c r="AM22" s="3" t="s">
        <v>4</v>
      </c>
      <c r="AN22" s="3" t="s">
        <v>5</v>
      </c>
      <c r="AO22" s="3" t="s">
        <v>4</v>
      </c>
      <c r="AP22" s="3" t="s">
        <v>4</v>
      </c>
      <c r="AQ22" s="3" t="s">
        <v>4</v>
      </c>
      <c r="AR22" s="3" t="s">
        <v>5</v>
      </c>
      <c r="AS22" s="3" t="s">
        <v>5</v>
      </c>
      <c r="AT22" s="3" t="s">
        <v>4</v>
      </c>
    </row>
    <row r="23" spans="1:54" ht="15" x14ac:dyDescent="0.25">
      <c r="A23" s="7">
        <v>873290</v>
      </c>
      <c r="B23" t="s">
        <v>13</v>
      </c>
      <c r="C23" s="3">
        <v>43957</v>
      </c>
      <c r="D23" t="s">
        <v>14</v>
      </c>
      <c r="E23" s="3" cm="1">
        <f t="array" ref="E23">SUMPRODUCT(--(L23:AJ23=IF(K23="A",$L$2:$AJ$2,$L$3:$AJ$3)))</f>
        <v>24</v>
      </c>
      <c r="F23" s="3" cm="1">
        <f t="array" ref="F23">SUMPRODUCT(--(AK23:AT23=IF(K23="A",$AK$2:$AT$2,$AK$3:$AT$3)))</f>
        <v>10</v>
      </c>
      <c r="G23" s="3">
        <f t="shared" si="0"/>
        <v>82</v>
      </c>
      <c r="H23" s="10">
        <f t="shared" si="1"/>
        <v>96.470588235294116</v>
      </c>
      <c r="I23" s="11">
        <f t="shared" si="2"/>
        <v>1.9765193505618543</v>
      </c>
      <c r="J23" s="3" t="s">
        <v>5</v>
      </c>
      <c r="K23" s="3" t="s">
        <v>5</v>
      </c>
      <c r="L23" s="3" t="s">
        <v>5</v>
      </c>
      <c r="M23" s="3" t="s">
        <v>4</v>
      </c>
      <c r="N23" s="3" t="s">
        <v>7</v>
      </c>
      <c r="O23" s="17" t="s">
        <v>5</v>
      </c>
      <c r="P23" s="3" t="s">
        <v>6</v>
      </c>
      <c r="Q23" s="3" t="s">
        <v>5</v>
      </c>
      <c r="R23" s="3" t="s">
        <v>7</v>
      </c>
      <c r="S23" s="3" t="s">
        <v>6</v>
      </c>
      <c r="T23" s="3" t="s">
        <v>6</v>
      </c>
      <c r="U23" s="3" t="s">
        <v>4</v>
      </c>
      <c r="V23" s="3" t="s">
        <v>4</v>
      </c>
      <c r="W23" s="3" t="s">
        <v>7</v>
      </c>
      <c r="X23" s="3" t="s">
        <v>6</v>
      </c>
      <c r="Y23" s="3" t="s">
        <v>5</v>
      </c>
      <c r="Z23" s="3" t="s">
        <v>5</v>
      </c>
      <c r="AA23" s="3" t="s">
        <v>6</v>
      </c>
      <c r="AB23" s="3" t="s">
        <v>5</v>
      </c>
      <c r="AC23" s="3" t="s">
        <v>4</v>
      </c>
      <c r="AD23" s="3" t="s">
        <v>6</v>
      </c>
      <c r="AE23" s="3" t="s">
        <v>6</v>
      </c>
      <c r="AF23" s="3" t="s">
        <v>5</v>
      </c>
      <c r="AG23" s="3" t="s">
        <v>4</v>
      </c>
      <c r="AH23" s="3" t="s">
        <v>7</v>
      </c>
      <c r="AI23" s="3" t="s">
        <v>7</v>
      </c>
      <c r="AJ23" s="3" t="s">
        <v>5</v>
      </c>
      <c r="AK23" s="3" t="s">
        <v>5</v>
      </c>
      <c r="AL23" s="3" t="s">
        <v>4</v>
      </c>
      <c r="AM23" s="3" t="s">
        <v>4</v>
      </c>
      <c r="AN23" s="3" t="s">
        <v>5</v>
      </c>
      <c r="AO23" s="3" t="s">
        <v>4</v>
      </c>
      <c r="AP23" s="3" t="s">
        <v>4</v>
      </c>
      <c r="AQ23" s="3" t="s">
        <v>5</v>
      </c>
      <c r="AR23" s="3" t="s">
        <v>4</v>
      </c>
      <c r="AS23" s="3" t="s">
        <v>5</v>
      </c>
      <c r="AT23" s="3" t="s">
        <v>4</v>
      </c>
    </row>
    <row r="24" spans="1:54" ht="15" x14ac:dyDescent="0.25">
      <c r="A24" s="7">
        <v>888543</v>
      </c>
      <c r="B24" t="s">
        <v>23</v>
      </c>
      <c r="C24" s="3">
        <v>43957</v>
      </c>
      <c r="D24" t="s">
        <v>24</v>
      </c>
      <c r="E24" s="3" cm="1">
        <f t="array" ref="E24">SUMPRODUCT(--(L24:AJ24=IF(K24="A",$L$2:$AJ$2,$L$3:$AJ$3)))</f>
        <v>20</v>
      </c>
      <c r="F24" s="3" cm="1">
        <f t="array" ref="F24">SUMPRODUCT(--(AK24:AT24=IF(K24="A",$AK$2:$AT$2,$AK$3:$AT$3)))</f>
        <v>10</v>
      </c>
      <c r="G24" s="3">
        <f t="shared" si="0"/>
        <v>70</v>
      </c>
      <c r="H24" s="10">
        <f t="shared" si="1"/>
        <v>82.352941176470594</v>
      </c>
      <c r="I24" s="11">
        <f t="shared" si="2"/>
        <v>1.2465073755806506</v>
      </c>
      <c r="J24" s="3" t="s">
        <v>4</v>
      </c>
      <c r="K24" s="3" t="s">
        <v>4</v>
      </c>
      <c r="L24" s="3" t="s">
        <v>4</v>
      </c>
      <c r="M24" s="3" t="s">
        <v>7</v>
      </c>
      <c r="N24" s="3" t="s">
        <v>7</v>
      </c>
      <c r="O24" s="17" t="s">
        <v>5</v>
      </c>
      <c r="P24" s="3" t="s">
        <v>5</v>
      </c>
      <c r="Q24" s="3" t="s">
        <v>5</v>
      </c>
      <c r="R24" s="3" t="s">
        <v>5</v>
      </c>
      <c r="S24" s="3" t="s">
        <v>6</v>
      </c>
      <c r="T24" s="3" t="s">
        <v>6</v>
      </c>
      <c r="U24" s="3" t="s">
        <v>4</v>
      </c>
      <c r="V24" s="3" t="s">
        <v>7</v>
      </c>
      <c r="W24" s="3" t="s">
        <v>6</v>
      </c>
      <c r="X24" s="3" t="s">
        <v>5</v>
      </c>
      <c r="Y24" s="3" t="s">
        <v>7</v>
      </c>
      <c r="Z24" s="3" t="s">
        <v>5</v>
      </c>
      <c r="AA24" s="3" t="s">
        <v>4</v>
      </c>
      <c r="AB24" s="3" t="s">
        <v>6</v>
      </c>
      <c r="AC24" s="3" t="s">
        <v>4</v>
      </c>
      <c r="AD24" s="3" t="s">
        <v>6</v>
      </c>
      <c r="AE24" s="3" t="s">
        <v>6</v>
      </c>
      <c r="AF24" s="3" t="s">
        <v>7</v>
      </c>
      <c r="AG24" s="3" t="s">
        <v>7</v>
      </c>
      <c r="AH24" s="3" t="s">
        <v>6</v>
      </c>
      <c r="AI24" s="3" t="s">
        <v>5</v>
      </c>
      <c r="AJ24" s="3" t="s">
        <v>5</v>
      </c>
      <c r="AK24" s="3" t="s">
        <v>5</v>
      </c>
      <c r="AL24" s="3" t="s">
        <v>4</v>
      </c>
      <c r="AM24" s="3" t="s">
        <v>4</v>
      </c>
      <c r="AN24" s="3" t="s">
        <v>5</v>
      </c>
      <c r="AO24" s="3" t="s">
        <v>4</v>
      </c>
      <c r="AP24" s="3" t="s">
        <v>4</v>
      </c>
      <c r="AQ24" s="3" t="s">
        <v>5</v>
      </c>
      <c r="AR24" s="3" t="s">
        <v>4</v>
      </c>
      <c r="AS24" s="3" t="s">
        <v>5</v>
      </c>
      <c r="AT24" s="3" t="s">
        <v>4</v>
      </c>
    </row>
    <row r="25" spans="1:54" ht="15" x14ac:dyDescent="0.25">
      <c r="A25" s="7">
        <v>891883</v>
      </c>
      <c r="B25" t="s">
        <v>79</v>
      </c>
      <c r="C25" s="3">
        <v>43957</v>
      </c>
      <c r="D25" t="s">
        <v>80</v>
      </c>
      <c r="E25" s="3" cm="1">
        <f t="array" ref="E25">SUMPRODUCT(--(L25:AJ25=IF(K25="A",$L$2:$AJ$2,$L$3:$AJ$3)))</f>
        <v>14</v>
      </c>
      <c r="F25" s="3" cm="1">
        <f t="array" ref="F25">SUMPRODUCT(--(AK25:AT25=IF(K25="A",$AK$2:$AT$2,$AK$3:$AT$3)))</f>
        <v>9</v>
      </c>
      <c r="G25" s="3">
        <f t="shared" si="0"/>
        <v>51</v>
      </c>
      <c r="H25" s="10">
        <f t="shared" si="1"/>
        <v>60</v>
      </c>
      <c r="I25" s="11">
        <f t="shared" si="2"/>
        <v>9.0655081860410575E-2</v>
      </c>
      <c r="J25" s="3" t="s">
        <v>4</v>
      </c>
      <c r="K25" s="3" t="s">
        <v>4</v>
      </c>
      <c r="L25" s="3" t="s">
        <v>4</v>
      </c>
      <c r="M25" s="3" t="s">
        <v>9</v>
      </c>
      <c r="N25" s="3" t="s">
        <v>6</v>
      </c>
      <c r="O25" s="17" t="s">
        <v>5</v>
      </c>
      <c r="P25" s="3" t="s">
        <v>5</v>
      </c>
      <c r="Q25" s="3" t="s">
        <v>4</v>
      </c>
      <c r="R25" s="3" t="s">
        <v>4</v>
      </c>
      <c r="S25" s="3" t="s">
        <v>6</v>
      </c>
      <c r="T25" s="3" t="s">
        <v>7</v>
      </c>
      <c r="U25" s="3" t="s">
        <v>4</v>
      </c>
      <c r="V25" s="3" t="s">
        <v>7</v>
      </c>
      <c r="W25" s="3" t="s">
        <v>5</v>
      </c>
      <c r="X25" s="3" t="s">
        <v>5</v>
      </c>
      <c r="Y25" s="3" t="s">
        <v>5</v>
      </c>
      <c r="Z25" s="3" t="s">
        <v>5</v>
      </c>
      <c r="AA25" s="3" t="s">
        <v>6</v>
      </c>
      <c r="AB25" s="3" t="s">
        <v>4</v>
      </c>
      <c r="AC25" s="3" t="s">
        <v>4</v>
      </c>
      <c r="AD25" s="3" t="s">
        <v>6</v>
      </c>
      <c r="AE25" s="3" t="s">
        <v>6</v>
      </c>
      <c r="AF25" s="3" t="s">
        <v>7</v>
      </c>
      <c r="AG25" s="3" t="s">
        <v>4</v>
      </c>
      <c r="AH25" s="3" t="s">
        <v>7</v>
      </c>
      <c r="AI25" s="3" t="s">
        <v>6</v>
      </c>
      <c r="AJ25" s="3" t="s">
        <v>4</v>
      </c>
      <c r="AK25" s="3" t="s">
        <v>5</v>
      </c>
      <c r="AL25" s="3" t="s">
        <v>4</v>
      </c>
      <c r="AM25" s="3" t="s">
        <v>4</v>
      </c>
      <c r="AN25" s="3" t="s">
        <v>5</v>
      </c>
      <c r="AO25" s="3" t="s">
        <v>5</v>
      </c>
      <c r="AP25" s="3" t="s">
        <v>4</v>
      </c>
      <c r="AQ25" s="3" t="s">
        <v>5</v>
      </c>
      <c r="AR25" s="3" t="s">
        <v>4</v>
      </c>
      <c r="AS25" s="3" t="s">
        <v>5</v>
      </c>
      <c r="AT25" s="3" t="s">
        <v>4</v>
      </c>
    </row>
    <row r="26" spans="1:54" ht="15" x14ac:dyDescent="0.25">
      <c r="A26" s="7">
        <v>895473</v>
      </c>
      <c r="B26" t="s">
        <v>61</v>
      </c>
      <c r="C26" s="3">
        <v>43957</v>
      </c>
      <c r="D26" t="s">
        <v>62</v>
      </c>
      <c r="E26" s="3" cm="1">
        <f t="array" ref="E26">SUMPRODUCT(--(L26:AJ26=IF(K26="A",$L$2:$AJ$2,$L$3:$AJ$3)))</f>
        <v>16</v>
      </c>
      <c r="F26" s="3" cm="1">
        <f t="array" ref="F26">SUMPRODUCT(--(AK26:AT26=IF(K26="A",$AK$2:$AT$2,$AK$3:$AT$3)))</f>
        <v>9</v>
      </c>
      <c r="G26" s="3">
        <f t="shared" si="0"/>
        <v>57</v>
      </c>
      <c r="H26" s="10">
        <f t="shared" si="1"/>
        <v>67.058823529411768</v>
      </c>
      <c r="I26" s="11">
        <f t="shared" si="2"/>
        <v>0.4556610693510128</v>
      </c>
      <c r="J26" s="3" t="s">
        <v>5</v>
      </c>
      <c r="K26" s="3" t="s">
        <v>5</v>
      </c>
      <c r="L26" s="3" t="s">
        <v>6</v>
      </c>
      <c r="M26" s="3" t="s">
        <v>4</v>
      </c>
      <c r="N26" s="3" t="s">
        <v>7</v>
      </c>
      <c r="O26" s="17" t="s">
        <v>5</v>
      </c>
      <c r="P26" s="3" t="s">
        <v>6</v>
      </c>
      <c r="Q26" s="3" t="s">
        <v>5</v>
      </c>
      <c r="R26" s="3" t="s">
        <v>5</v>
      </c>
      <c r="S26" s="3" t="s">
        <v>6</v>
      </c>
      <c r="T26" s="3" t="s">
        <v>7</v>
      </c>
      <c r="U26" s="3" t="s">
        <v>4</v>
      </c>
      <c r="V26" s="3" t="s">
        <v>4</v>
      </c>
      <c r="W26" s="3" t="s">
        <v>6</v>
      </c>
      <c r="X26" s="3" t="s">
        <v>6</v>
      </c>
      <c r="Y26" s="3" t="s">
        <v>5</v>
      </c>
      <c r="Z26" s="3" t="s">
        <v>5</v>
      </c>
      <c r="AA26" s="3" t="s">
        <v>4</v>
      </c>
      <c r="AB26" s="3" t="s">
        <v>5</v>
      </c>
      <c r="AC26" s="3" t="s">
        <v>6</v>
      </c>
      <c r="AD26" s="3" t="s">
        <v>6</v>
      </c>
      <c r="AE26" s="3" t="s">
        <v>6</v>
      </c>
      <c r="AF26" s="3" t="s">
        <v>4</v>
      </c>
      <c r="AG26" s="3" t="s">
        <v>6</v>
      </c>
      <c r="AH26" s="3" t="s">
        <v>6</v>
      </c>
      <c r="AI26" s="3" t="s">
        <v>6</v>
      </c>
      <c r="AJ26" s="3" t="s">
        <v>5</v>
      </c>
      <c r="AK26" s="3" t="s">
        <v>5</v>
      </c>
      <c r="AL26" s="3" t="s">
        <v>4</v>
      </c>
      <c r="AM26" s="3" t="s">
        <v>4</v>
      </c>
      <c r="AN26" s="3" t="s">
        <v>5</v>
      </c>
      <c r="AO26" s="3" t="s">
        <v>4</v>
      </c>
      <c r="AP26" s="3" t="s">
        <v>4</v>
      </c>
      <c r="AQ26" s="3" t="s">
        <v>5</v>
      </c>
      <c r="AR26" s="3" t="s">
        <v>4</v>
      </c>
      <c r="AS26" s="3" t="s">
        <v>4</v>
      </c>
      <c r="AT26" s="3" t="s">
        <v>4</v>
      </c>
    </row>
    <row r="27" spans="1:54" ht="15" x14ac:dyDescent="0.25">
      <c r="A27" s="7">
        <v>896290</v>
      </c>
      <c r="B27" t="s">
        <v>83</v>
      </c>
      <c r="C27" s="3">
        <v>43957</v>
      </c>
      <c r="D27" t="s">
        <v>84</v>
      </c>
      <c r="E27" s="3" cm="1">
        <f t="array" ref="E27">SUMPRODUCT(--(L27:AJ27=IF(K27="A",$L$2:$AJ$2,$L$3:$AJ$3)))</f>
        <v>13</v>
      </c>
      <c r="F27" s="3" cm="1">
        <f t="array" ref="F27">SUMPRODUCT(--(AK27:AT27=IF(K27="A",$AK$2:$AT$2,$AK$3:$AT$3)))</f>
        <v>8</v>
      </c>
      <c r="G27" s="3">
        <f t="shared" si="0"/>
        <v>47</v>
      </c>
      <c r="H27" s="10">
        <f t="shared" si="1"/>
        <v>55.294117647058826</v>
      </c>
      <c r="I27" s="11">
        <f t="shared" si="2"/>
        <v>-0.15268224313332399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5</v>
      </c>
      <c r="O27" s="17" t="s">
        <v>5</v>
      </c>
      <c r="P27" s="3" t="s">
        <v>6</v>
      </c>
      <c r="Q27" s="3" t="s">
        <v>5</v>
      </c>
      <c r="R27" s="3" t="s">
        <v>7</v>
      </c>
      <c r="S27" s="3" t="s">
        <v>6</v>
      </c>
      <c r="T27" s="3" t="s">
        <v>7</v>
      </c>
      <c r="U27" s="3" t="s">
        <v>4</v>
      </c>
      <c r="V27" s="3" t="s">
        <v>4</v>
      </c>
      <c r="W27" s="3" t="s">
        <v>5</v>
      </c>
      <c r="X27" s="3" t="s">
        <v>6</v>
      </c>
      <c r="Y27" s="3" t="s">
        <v>6</v>
      </c>
      <c r="Z27" s="3" t="s">
        <v>5</v>
      </c>
      <c r="AA27" s="3" t="s">
        <v>5</v>
      </c>
      <c r="AB27" s="3" t="s">
        <v>4</v>
      </c>
      <c r="AC27" s="3" t="s">
        <v>4</v>
      </c>
      <c r="AD27" s="3" t="s">
        <v>6</v>
      </c>
      <c r="AE27" s="3" t="s">
        <v>5</v>
      </c>
      <c r="AF27" s="3" t="s">
        <v>7</v>
      </c>
      <c r="AG27" s="3" t="s">
        <v>7</v>
      </c>
      <c r="AH27" s="3" t="s">
        <v>7</v>
      </c>
      <c r="AI27" s="3" t="s">
        <v>4</v>
      </c>
      <c r="AJ27" s="3" t="s">
        <v>7</v>
      </c>
      <c r="AK27" s="3" t="s">
        <v>5</v>
      </c>
      <c r="AL27" s="3" t="s">
        <v>4</v>
      </c>
      <c r="AM27" s="3" t="s">
        <v>5</v>
      </c>
      <c r="AN27" s="3" t="s">
        <v>4</v>
      </c>
      <c r="AO27" s="3" t="s">
        <v>4</v>
      </c>
      <c r="AP27" s="3" t="s">
        <v>4</v>
      </c>
      <c r="AQ27" s="3" t="s">
        <v>5</v>
      </c>
      <c r="AR27" s="3" t="s">
        <v>4</v>
      </c>
      <c r="AS27" s="3" t="s">
        <v>5</v>
      </c>
      <c r="AT27" s="3" t="s">
        <v>4</v>
      </c>
    </row>
    <row r="28" spans="1:54" ht="15" x14ac:dyDescent="0.25">
      <c r="A28" s="7">
        <v>924739</v>
      </c>
      <c r="B28" t="s">
        <v>77</v>
      </c>
      <c r="C28" s="3">
        <v>43957</v>
      </c>
      <c r="D28" t="s">
        <v>78</v>
      </c>
      <c r="E28" s="3" cm="1">
        <f t="array" ref="E28">SUMPRODUCT(--(L28:AJ28=IF(K28="A",$L$2:$AJ$2,$L$3:$AJ$3)))</f>
        <v>13</v>
      </c>
      <c r="F28" s="3" cm="1">
        <f t="array" ref="F28">SUMPRODUCT(--(AK28:AT28=IF(K28="A",$AK$2:$AT$2,$AK$3:$AT$3)))</f>
        <v>5</v>
      </c>
      <c r="G28" s="3">
        <f t="shared" si="0"/>
        <v>44</v>
      </c>
      <c r="H28" s="10">
        <f t="shared" si="1"/>
        <v>51.764705882352942</v>
      </c>
      <c r="I28" s="11">
        <f t="shared" si="2"/>
        <v>-0.33518523687862511</v>
      </c>
      <c r="J28" s="3" t="s">
        <v>5</v>
      </c>
      <c r="K28" s="3" t="s">
        <v>5</v>
      </c>
      <c r="L28" s="3" t="s">
        <v>5</v>
      </c>
      <c r="M28" s="3" t="s">
        <v>5</v>
      </c>
      <c r="N28" s="3" t="s">
        <v>5</v>
      </c>
      <c r="O28" s="17" t="s">
        <v>5</v>
      </c>
      <c r="P28" s="3" t="s">
        <v>5</v>
      </c>
      <c r="Q28" s="3" t="s">
        <v>6</v>
      </c>
      <c r="R28" s="3" t="s">
        <v>7</v>
      </c>
      <c r="S28" s="3" t="s">
        <v>6</v>
      </c>
      <c r="T28" s="3" t="s">
        <v>6</v>
      </c>
      <c r="U28" s="3" t="s">
        <v>6</v>
      </c>
      <c r="V28" s="3" t="s">
        <v>4</v>
      </c>
      <c r="W28" s="3" t="s">
        <v>4</v>
      </c>
      <c r="X28" s="3" t="s">
        <v>6</v>
      </c>
      <c r="Y28" s="3" t="s">
        <v>5</v>
      </c>
      <c r="Z28" s="3" t="s">
        <v>6</v>
      </c>
      <c r="AA28" s="3" t="s">
        <v>6</v>
      </c>
      <c r="AB28" s="3" t="s">
        <v>5</v>
      </c>
      <c r="AC28" s="3" t="s">
        <v>6</v>
      </c>
      <c r="AD28" s="3" t="s">
        <v>6</v>
      </c>
      <c r="AE28" s="3" t="s">
        <v>6</v>
      </c>
      <c r="AF28" s="3" t="s">
        <v>4</v>
      </c>
      <c r="AG28" s="3" t="s">
        <v>5</v>
      </c>
      <c r="AH28" s="3" t="s">
        <v>7</v>
      </c>
      <c r="AI28" s="3" t="s">
        <v>5</v>
      </c>
      <c r="AJ28" s="3" t="s">
        <v>6</v>
      </c>
      <c r="AK28" s="3" t="s">
        <v>4</v>
      </c>
      <c r="AL28" s="3" t="s">
        <v>5</v>
      </c>
      <c r="AM28" s="3" t="s">
        <v>4</v>
      </c>
      <c r="AN28" s="3" t="s">
        <v>4</v>
      </c>
      <c r="AO28" s="3" t="s">
        <v>5</v>
      </c>
      <c r="AP28" s="3" t="s">
        <v>4</v>
      </c>
      <c r="AQ28" s="3" t="s">
        <v>5</v>
      </c>
      <c r="AR28" s="3" t="s">
        <v>8</v>
      </c>
      <c r="AS28" s="3" t="s">
        <v>5</v>
      </c>
      <c r="AT28" s="3" t="s">
        <v>4</v>
      </c>
    </row>
    <row r="29" spans="1:54" ht="15" x14ac:dyDescent="0.25">
      <c r="A29" s="7">
        <v>934216</v>
      </c>
      <c r="B29" t="s">
        <v>87</v>
      </c>
      <c r="C29" s="3">
        <v>43957</v>
      </c>
      <c r="D29" t="s">
        <v>88</v>
      </c>
      <c r="E29" s="3" cm="1">
        <f t="array" ref="E29">SUMPRODUCT(--(L29:AJ29=IF(K29="A",$L$2:$AJ$2,$L$3:$AJ$3)))</f>
        <v>17</v>
      </c>
      <c r="F29" s="3" cm="1">
        <f t="array" ref="F29">SUMPRODUCT(--(AK29:AT29=IF(K29="A",$AK$2:$AT$2,$AK$3:$AT$3)))</f>
        <v>5</v>
      </c>
      <c r="G29" s="3">
        <f t="shared" si="0"/>
        <v>56</v>
      </c>
      <c r="H29" s="10">
        <f t="shared" si="1"/>
        <v>65.882352941176464</v>
      </c>
      <c r="I29" s="11">
        <f t="shared" si="2"/>
        <v>0.39482673810257862</v>
      </c>
      <c r="J29" s="3" t="s">
        <v>5</v>
      </c>
      <c r="K29" s="3" t="s">
        <v>5</v>
      </c>
      <c r="L29" s="3" t="s">
        <v>5</v>
      </c>
      <c r="M29" s="3" t="s">
        <v>4</v>
      </c>
      <c r="N29" s="3" t="s">
        <v>6</v>
      </c>
      <c r="O29" s="17" t="s">
        <v>5</v>
      </c>
      <c r="P29" s="3" t="s">
        <v>6</v>
      </c>
      <c r="Q29" s="3" t="s">
        <v>5</v>
      </c>
      <c r="R29" s="3" t="s">
        <v>7</v>
      </c>
      <c r="S29" s="3" t="s">
        <v>6</v>
      </c>
      <c r="T29" s="3" t="s">
        <v>6</v>
      </c>
      <c r="U29" s="3" t="s">
        <v>4</v>
      </c>
      <c r="V29" s="3" t="s">
        <v>4</v>
      </c>
      <c r="W29" s="3" t="s">
        <v>7</v>
      </c>
      <c r="X29" s="3" t="s">
        <v>6</v>
      </c>
      <c r="Y29" s="3" t="s">
        <v>6</v>
      </c>
      <c r="Z29" s="3" t="s">
        <v>5</v>
      </c>
      <c r="AA29" s="3" t="s">
        <v>7</v>
      </c>
      <c r="AB29" s="3" t="s">
        <v>6</v>
      </c>
      <c r="AC29" s="3" t="s">
        <v>4</v>
      </c>
      <c r="AD29" s="3" t="s">
        <v>5</v>
      </c>
      <c r="AE29" s="3" t="s">
        <v>6</v>
      </c>
      <c r="AF29" s="3" t="s">
        <v>5</v>
      </c>
      <c r="AG29" s="3" t="s">
        <v>7</v>
      </c>
      <c r="AH29" s="3" t="s">
        <v>7</v>
      </c>
      <c r="AI29" s="3" t="s">
        <v>4</v>
      </c>
      <c r="AJ29" s="3" t="s">
        <v>6</v>
      </c>
      <c r="AK29" s="3" t="s">
        <v>4</v>
      </c>
      <c r="AL29" s="3" t="s">
        <v>4</v>
      </c>
      <c r="AM29" s="3" t="s">
        <v>5</v>
      </c>
      <c r="AN29" s="3" t="s">
        <v>4</v>
      </c>
      <c r="AO29" s="3" t="s">
        <v>5</v>
      </c>
      <c r="AP29" s="3" t="s">
        <v>4</v>
      </c>
      <c r="AQ29" s="3" t="s">
        <v>4</v>
      </c>
      <c r="AR29" s="3" t="s">
        <v>4</v>
      </c>
      <c r="AS29" s="3" t="s">
        <v>5</v>
      </c>
      <c r="AT29" s="3" t="s">
        <v>4</v>
      </c>
    </row>
    <row r="30" spans="1:54" ht="15" x14ac:dyDescent="0.25">
      <c r="A30" s="7">
        <v>934915</v>
      </c>
      <c r="B30" t="s">
        <v>67</v>
      </c>
      <c r="C30" s="3">
        <v>43958</v>
      </c>
      <c r="D30" t="s">
        <v>68</v>
      </c>
      <c r="E30" s="3" cm="1">
        <f t="array" ref="E30">SUMPRODUCT(--(L30:AJ30=IF(K30="A",$L$2:$AJ$2,$L$3:$AJ$3)))</f>
        <v>11</v>
      </c>
      <c r="F30" s="3" cm="1">
        <f t="array" ref="F30">SUMPRODUCT(--(AK30:AT30=IF(K30="A",$AK$2:$AT$2,$AK$3:$AT$3)))</f>
        <v>7</v>
      </c>
      <c r="G30" s="3">
        <f t="shared" si="0"/>
        <v>40</v>
      </c>
      <c r="H30" s="10">
        <f t="shared" si="1"/>
        <v>47.058823529411768</v>
      </c>
      <c r="I30" s="11">
        <f t="shared" si="2"/>
        <v>-0.57852256187235973</v>
      </c>
      <c r="J30" s="3" t="s">
        <v>4</v>
      </c>
      <c r="K30" s="3" t="s">
        <v>4</v>
      </c>
      <c r="L30" s="3" t="s">
        <v>4</v>
      </c>
      <c r="M30" s="3" t="s">
        <v>5</v>
      </c>
      <c r="N30" s="3" t="s">
        <v>5</v>
      </c>
      <c r="O30" s="17" t="s">
        <v>5</v>
      </c>
      <c r="P30" s="3" t="s">
        <v>6</v>
      </c>
      <c r="Q30" s="3" t="s">
        <v>4</v>
      </c>
      <c r="R30" s="3" t="s">
        <v>7</v>
      </c>
      <c r="S30" s="3" t="s">
        <v>6</v>
      </c>
      <c r="T30" s="3" t="s">
        <v>6</v>
      </c>
      <c r="U30" s="3" t="s">
        <v>4</v>
      </c>
      <c r="V30" s="3" t="s">
        <v>4</v>
      </c>
      <c r="W30" s="3" t="s">
        <v>5</v>
      </c>
      <c r="X30" s="3" t="s">
        <v>6</v>
      </c>
      <c r="Y30" s="3" t="s">
        <v>6</v>
      </c>
      <c r="Z30" s="3" t="s">
        <v>5</v>
      </c>
      <c r="AA30" s="3" t="s">
        <v>5</v>
      </c>
      <c r="AB30" s="3" t="s">
        <v>5</v>
      </c>
      <c r="AC30" s="3" t="s">
        <v>6</v>
      </c>
      <c r="AD30" s="3" t="s">
        <v>4</v>
      </c>
      <c r="AE30" s="3" t="s">
        <v>5</v>
      </c>
      <c r="AF30" s="3" t="s">
        <v>7</v>
      </c>
      <c r="AG30" s="3" t="s">
        <v>5</v>
      </c>
      <c r="AH30" s="3" t="s">
        <v>4</v>
      </c>
      <c r="AI30" s="3" t="s">
        <v>5</v>
      </c>
      <c r="AJ30" s="3" t="s">
        <v>4</v>
      </c>
      <c r="AK30" s="3" t="s">
        <v>5</v>
      </c>
      <c r="AL30" s="3" t="s">
        <v>5</v>
      </c>
      <c r="AM30" s="3" t="s">
        <v>4</v>
      </c>
      <c r="AN30" s="3" t="s">
        <v>5</v>
      </c>
      <c r="AO30" s="3" t="s">
        <v>4</v>
      </c>
      <c r="AP30" s="3" t="s">
        <v>4</v>
      </c>
      <c r="AQ30" s="3" t="s">
        <v>4</v>
      </c>
      <c r="AR30" s="3" t="s">
        <v>5</v>
      </c>
      <c r="AS30" s="3" t="s">
        <v>5</v>
      </c>
      <c r="AT30" s="3" t="s">
        <v>4</v>
      </c>
    </row>
    <row r="31" spans="1:54" ht="15" x14ac:dyDescent="0.25">
      <c r="A31" s="7">
        <v>958268</v>
      </c>
      <c r="B31" t="s">
        <v>35</v>
      </c>
      <c r="C31" s="3">
        <v>43958</v>
      </c>
      <c r="D31" t="s">
        <v>36</v>
      </c>
      <c r="E31" s="3" cm="1">
        <f t="array" ref="E31">SUMPRODUCT(--(L31:AJ31=IF(K31="A",$L$2:$AJ$2,$L$3:$AJ$3)))</f>
        <v>17</v>
      </c>
      <c r="F31" s="3" cm="1">
        <f t="array" ref="F31">SUMPRODUCT(--(AK31:AT31=IF(K31="A",$AK$2:$AT$2,$AK$3:$AT$3)))</f>
        <v>7</v>
      </c>
      <c r="G31" s="3">
        <f t="shared" si="0"/>
        <v>58</v>
      </c>
      <c r="H31" s="10">
        <f t="shared" si="1"/>
        <v>68.235294117647058</v>
      </c>
      <c r="I31" s="11">
        <f t="shared" si="2"/>
        <v>0.51649540059944632</v>
      </c>
      <c r="J31" s="3" t="s">
        <v>4</v>
      </c>
      <c r="K31" s="3" t="s">
        <v>4</v>
      </c>
      <c r="L31" s="3" t="s">
        <v>4</v>
      </c>
      <c r="M31" s="3" t="s">
        <v>7</v>
      </c>
      <c r="N31" s="3" t="s">
        <v>5</v>
      </c>
      <c r="O31" s="17" t="s">
        <v>5</v>
      </c>
      <c r="P31" s="3" t="s">
        <v>5</v>
      </c>
      <c r="Q31" s="3" t="s">
        <v>5</v>
      </c>
      <c r="R31" s="3" t="s">
        <v>7</v>
      </c>
      <c r="S31" s="3" t="s">
        <v>6</v>
      </c>
      <c r="T31" s="3" t="s">
        <v>7</v>
      </c>
      <c r="U31" s="3" t="s">
        <v>7</v>
      </c>
      <c r="V31" s="3" t="s">
        <v>4</v>
      </c>
      <c r="W31" s="3" t="s">
        <v>5</v>
      </c>
      <c r="X31" s="3" t="s">
        <v>6</v>
      </c>
      <c r="Y31" s="3" t="s">
        <v>5</v>
      </c>
      <c r="Z31" s="3" t="s">
        <v>5</v>
      </c>
      <c r="AA31" s="3" t="s">
        <v>4</v>
      </c>
      <c r="AB31" s="3" t="s">
        <v>6</v>
      </c>
      <c r="AC31" s="3" t="s">
        <v>6</v>
      </c>
      <c r="AD31" s="3" t="s">
        <v>6</v>
      </c>
      <c r="AE31" s="3" t="s">
        <v>5</v>
      </c>
      <c r="AF31" s="3" t="s">
        <v>7</v>
      </c>
      <c r="AG31" s="3" t="s">
        <v>4</v>
      </c>
      <c r="AH31" s="3" t="s">
        <v>6</v>
      </c>
      <c r="AI31" s="3" t="s">
        <v>6</v>
      </c>
      <c r="AJ31" s="3" t="s">
        <v>5</v>
      </c>
      <c r="AK31" s="3" t="s">
        <v>5</v>
      </c>
      <c r="AL31" s="3" t="s">
        <v>5</v>
      </c>
      <c r="AM31" s="3" t="s">
        <v>4</v>
      </c>
      <c r="AN31" s="3" t="s">
        <v>4</v>
      </c>
      <c r="AO31" s="3" t="s">
        <v>5</v>
      </c>
      <c r="AP31" s="3" t="s">
        <v>4</v>
      </c>
      <c r="AQ31" s="3" t="s">
        <v>5</v>
      </c>
      <c r="AR31" s="3" t="s">
        <v>4</v>
      </c>
      <c r="AS31" s="3" t="s">
        <v>5</v>
      </c>
      <c r="AT31" s="3" t="s">
        <v>4</v>
      </c>
    </row>
    <row r="32" spans="1:54" ht="15" x14ac:dyDescent="0.25">
      <c r="A32" s="7">
        <v>964444</v>
      </c>
      <c r="B32" t="s">
        <v>71</v>
      </c>
      <c r="C32" s="3">
        <v>43957</v>
      </c>
      <c r="D32" t="s">
        <v>72</v>
      </c>
      <c r="E32" s="3" cm="1">
        <f t="array" ref="E32">SUMPRODUCT(--(L32:AJ32=IF(K32="A",$L$2:$AJ$2,$L$3:$AJ$3)))</f>
        <v>22</v>
      </c>
      <c r="F32" s="3" cm="1">
        <f t="array" ref="F32">SUMPRODUCT(--(AK32:AT32=IF(K32="A",$AK$2:$AT$2,$AK$3:$AT$3)))</f>
        <v>5</v>
      </c>
      <c r="G32" s="3">
        <f t="shared" si="0"/>
        <v>71</v>
      </c>
      <c r="H32" s="10">
        <f t="shared" si="1"/>
        <v>83.529411764705884</v>
      </c>
      <c r="I32" s="11">
        <f t="shared" si="2"/>
        <v>1.3073417068290842</v>
      </c>
      <c r="J32" s="3" t="s">
        <v>4</v>
      </c>
      <c r="K32" s="3" t="s">
        <v>4</v>
      </c>
      <c r="L32" s="3" t="s">
        <v>4</v>
      </c>
      <c r="M32" s="3" t="s">
        <v>7</v>
      </c>
      <c r="N32" s="3" t="s">
        <v>6</v>
      </c>
      <c r="O32" s="17" t="s">
        <v>5</v>
      </c>
      <c r="P32" s="3" t="s">
        <v>6</v>
      </c>
      <c r="Q32" s="3" t="s">
        <v>5</v>
      </c>
      <c r="R32" s="3" t="s">
        <v>7</v>
      </c>
      <c r="S32" s="3" t="s">
        <v>6</v>
      </c>
      <c r="T32" s="3" t="s">
        <v>6</v>
      </c>
      <c r="U32" s="3" t="s">
        <v>4</v>
      </c>
      <c r="V32" s="3" t="s">
        <v>6</v>
      </c>
      <c r="W32" s="3" t="s">
        <v>5</v>
      </c>
      <c r="X32" s="3" t="s">
        <v>6</v>
      </c>
      <c r="Y32" s="3" t="s">
        <v>5</v>
      </c>
      <c r="Z32" s="3" t="s">
        <v>5</v>
      </c>
      <c r="AA32" s="3" t="s">
        <v>4</v>
      </c>
      <c r="AB32" s="3" t="s">
        <v>6</v>
      </c>
      <c r="AC32" s="3" t="s">
        <v>4</v>
      </c>
      <c r="AD32" s="3" t="s">
        <v>6</v>
      </c>
      <c r="AE32" s="3" t="s">
        <v>6</v>
      </c>
      <c r="AF32" s="3" t="s">
        <v>6</v>
      </c>
      <c r="AG32" s="3" t="s">
        <v>7</v>
      </c>
      <c r="AH32" s="3" t="s">
        <v>6</v>
      </c>
      <c r="AI32" s="3" t="s">
        <v>5</v>
      </c>
      <c r="AJ32" s="3" t="s">
        <v>5</v>
      </c>
      <c r="AK32" s="3" t="s">
        <v>5</v>
      </c>
      <c r="AL32" s="3" t="s">
        <v>5</v>
      </c>
      <c r="AM32" s="3" t="s">
        <v>5</v>
      </c>
      <c r="AN32" s="3" t="s">
        <v>4</v>
      </c>
      <c r="AO32" s="3" t="s">
        <v>4</v>
      </c>
      <c r="AP32" s="3" t="s">
        <v>4</v>
      </c>
      <c r="AQ32" s="3" t="s">
        <v>4</v>
      </c>
      <c r="AR32" s="3" t="s">
        <v>5</v>
      </c>
      <c r="AS32" s="3" t="s">
        <v>5</v>
      </c>
      <c r="AT32" s="3" t="s">
        <v>4</v>
      </c>
    </row>
    <row r="33" spans="1:54" ht="15" x14ac:dyDescent="0.25">
      <c r="A33" s="7">
        <v>977589</v>
      </c>
      <c r="B33" t="s">
        <v>51</v>
      </c>
      <c r="C33" s="3">
        <v>43958</v>
      </c>
      <c r="D33" t="s">
        <v>52</v>
      </c>
      <c r="E33" s="3" cm="1">
        <f t="array" ref="E33">SUMPRODUCT(--(L33:AJ33=IF(K33="A",$L$2:$AJ$2,$L$3:$AJ$3)))</f>
        <v>17</v>
      </c>
      <c r="F33" s="3" cm="1">
        <f t="array" ref="F33">SUMPRODUCT(--(AK33:AT33=IF(K33="A",$AK$2:$AT$2,$AK$3:$AT$3)))</f>
        <v>10</v>
      </c>
      <c r="G33" s="3">
        <f t="shared" si="0"/>
        <v>61</v>
      </c>
      <c r="H33" s="10">
        <f t="shared" si="1"/>
        <v>71.764705882352942</v>
      </c>
      <c r="I33" s="11">
        <f t="shared" si="2"/>
        <v>0.69899839434474742</v>
      </c>
      <c r="J33" s="3" t="s">
        <v>8</v>
      </c>
      <c r="K33" s="6" t="s">
        <v>5</v>
      </c>
      <c r="L33" s="3" t="s">
        <v>5</v>
      </c>
      <c r="M33" s="3" t="s">
        <v>4</v>
      </c>
      <c r="N33" s="3" t="s">
        <v>6</v>
      </c>
      <c r="O33" s="17" t="s">
        <v>5</v>
      </c>
      <c r="P33" s="3" t="s">
        <v>7</v>
      </c>
      <c r="Q33" s="3" t="s">
        <v>5</v>
      </c>
      <c r="R33" s="3" t="s">
        <v>7</v>
      </c>
      <c r="S33" s="3" t="s">
        <v>6</v>
      </c>
      <c r="T33" s="3" t="s">
        <v>6</v>
      </c>
      <c r="U33" s="3" t="s">
        <v>4</v>
      </c>
      <c r="V33" s="3" t="s">
        <v>7</v>
      </c>
      <c r="W33" s="3" t="s">
        <v>6</v>
      </c>
      <c r="X33" s="3" t="s">
        <v>6</v>
      </c>
      <c r="Y33" s="3" t="s">
        <v>5</v>
      </c>
      <c r="Z33" s="3" t="s">
        <v>5</v>
      </c>
      <c r="AA33" s="3" t="s">
        <v>6</v>
      </c>
      <c r="AB33" s="3" t="s">
        <v>5</v>
      </c>
      <c r="AC33" s="3" t="s">
        <v>6</v>
      </c>
      <c r="AD33" s="3" t="s">
        <v>4</v>
      </c>
      <c r="AE33" s="3" t="s">
        <v>6</v>
      </c>
      <c r="AF33" s="3" t="s">
        <v>5</v>
      </c>
      <c r="AG33" s="3" t="s">
        <v>6</v>
      </c>
      <c r="AH33" s="3" t="s">
        <v>7</v>
      </c>
      <c r="AI33" s="3" t="s">
        <v>4</v>
      </c>
      <c r="AJ33" s="3" t="s">
        <v>4</v>
      </c>
      <c r="AK33" s="3" t="s">
        <v>5</v>
      </c>
      <c r="AL33" s="3" t="s">
        <v>4</v>
      </c>
      <c r="AM33" s="3" t="s">
        <v>4</v>
      </c>
      <c r="AN33" s="3" t="s">
        <v>5</v>
      </c>
      <c r="AO33" s="3" t="s">
        <v>4</v>
      </c>
      <c r="AP33" s="3" t="s">
        <v>4</v>
      </c>
      <c r="AQ33" s="3" t="s">
        <v>5</v>
      </c>
      <c r="AR33" s="3" t="s">
        <v>4</v>
      </c>
      <c r="AS33" s="3" t="s">
        <v>5</v>
      </c>
      <c r="AT33" s="3" t="s">
        <v>4</v>
      </c>
    </row>
    <row r="34" spans="1:54" ht="15" x14ac:dyDescent="0.25">
      <c r="A34" s="7">
        <v>977963</v>
      </c>
      <c r="B34" t="s">
        <v>39</v>
      </c>
      <c r="C34" s="3">
        <v>43958</v>
      </c>
      <c r="D34" t="s">
        <v>40</v>
      </c>
      <c r="E34" s="3" cm="1">
        <f t="array" ref="E34">SUMPRODUCT(--(L34:AJ34=IF(K34="A",$L$2:$AJ$2,$L$3:$AJ$3)))</f>
        <v>6</v>
      </c>
      <c r="F34" s="3" cm="1">
        <f t="array" ref="F34">SUMPRODUCT(--(AK34:AT34=IF(K34="A",$AK$2:$AT$2,$AK$3:$AT$3)))</f>
        <v>7</v>
      </c>
      <c r="G34" s="3">
        <f t="shared" si="0"/>
        <v>25</v>
      </c>
      <c r="H34" s="10">
        <f t="shared" si="1"/>
        <v>29.411764705882351</v>
      </c>
      <c r="I34" s="11">
        <f t="shared" si="2"/>
        <v>-1.491037530598865</v>
      </c>
      <c r="J34" s="3" t="s">
        <v>5</v>
      </c>
      <c r="K34" s="3" t="s">
        <v>5</v>
      </c>
      <c r="L34" s="3" t="s">
        <v>4</v>
      </c>
      <c r="M34" s="3" t="s">
        <v>6</v>
      </c>
      <c r="N34" s="3" t="s">
        <v>9</v>
      </c>
      <c r="O34" s="17" t="s">
        <v>5</v>
      </c>
      <c r="P34" s="3" t="s">
        <v>5</v>
      </c>
      <c r="Q34" s="3" t="s">
        <v>6</v>
      </c>
      <c r="R34" s="3" t="s">
        <v>7</v>
      </c>
      <c r="S34" s="3" t="s">
        <v>6</v>
      </c>
      <c r="T34" s="3" t="s">
        <v>7</v>
      </c>
      <c r="U34" s="3" t="s">
        <v>7</v>
      </c>
      <c r="V34" s="3" t="s">
        <v>5</v>
      </c>
      <c r="W34" s="3" t="s">
        <v>6</v>
      </c>
      <c r="X34" s="3" t="s">
        <v>6</v>
      </c>
      <c r="Y34" s="3" t="s">
        <v>7</v>
      </c>
      <c r="Z34" s="3" t="s">
        <v>6</v>
      </c>
      <c r="AA34" s="3" t="s">
        <v>7</v>
      </c>
      <c r="AB34" s="3" t="s">
        <v>5</v>
      </c>
      <c r="AC34" s="3" t="s">
        <v>6</v>
      </c>
      <c r="AD34" s="3" t="s">
        <v>4</v>
      </c>
      <c r="AE34" s="3" t="s">
        <v>4</v>
      </c>
      <c r="AF34" s="3" t="s">
        <v>4</v>
      </c>
      <c r="AG34" s="3" t="s">
        <v>7</v>
      </c>
      <c r="AH34" s="3" t="s">
        <v>7</v>
      </c>
      <c r="AI34" s="3" t="s">
        <v>5</v>
      </c>
      <c r="AJ34" s="3" t="s">
        <v>4</v>
      </c>
      <c r="AK34" s="3" t="s">
        <v>4</v>
      </c>
      <c r="AL34" s="3" t="s">
        <v>5</v>
      </c>
      <c r="AM34" s="3" t="s">
        <v>4</v>
      </c>
      <c r="AN34" s="3" t="s">
        <v>4</v>
      </c>
      <c r="AO34" s="3" t="s">
        <v>4</v>
      </c>
      <c r="AP34" s="3" t="s">
        <v>4</v>
      </c>
      <c r="AQ34" s="3" t="s">
        <v>5</v>
      </c>
      <c r="AR34" s="3" t="s">
        <v>4</v>
      </c>
      <c r="AS34" s="3" t="s">
        <v>5</v>
      </c>
      <c r="AT34" s="3" t="s">
        <v>4</v>
      </c>
    </row>
    <row r="35" spans="1:54" ht="15" x14ac:dyDescent="0.25">
      <c r="A35" s="7">
        <v>982244</v>
      </c>
      <c r="B35" t="s">
        <v>154</v>
      </c>
      <c r="C35" s="3">
        <v>43958</v>
      </c>
      <c r="D35" t="s">
        <v>155</v>
      </c>
      <c r="E35" s="3" cm="1">
        <f t="array" ref="E35">SUMPRODUCT(--(L35:AJ35=IF(K35="A",$L$2:$AJ$2,$L$3:$AJ$3)))</f>
        <v>8</v>
      </c>
      <c r="F35" s="3" cm="1">
        <f t="array" ref="F35">SUMPRODUCT(--(AK35:AT35=IF(K35="A",$AK$2:$AT$2,$AK$3:$AT$3)))</f>
        <v>4</v>
      </c>
      <c r="G35" s="3">
        <f t="shared" si="0"/>
        <v>28</v>
      </c>
      <c r="H35" s="10">
        <f t="shared" si="1"/>
        <v>32.941176470588232</v>
      </c>
      <c r="I35" s="11">
        <f t="shared" si="2"/>
        <v>-1.3085345368535641</v>
      </c>
      <c r="J35" s="3" t="s">
        <v>4</v>
      </c>
      <c r="K35" s="3" t="s">
        <v>4</v>
      </c>
      <c r="L35" s="3" t="s">
        <v>6</v>
      </c>
      <c r="M35" s="3" t="s">
        <v>4</v>
      </c>
      <c r="N35" s="3" t="s">
        <v>7</v>
      </c>
      <c r="O35" s="17" t="s">
        <v>5</v>
      </c>
      <c r="P35" s="3" t="s">
        <v>6</v>
      </c>
      <c r="Q35" s="3" t="s">
        <v>5</v>
      </c>
      <c r="R35" s="3" t="s">
        <v>7</v>
      </c>
      <c r="S35" s="3" t="s">
        <v>4</v>
      </c>
      <c r="T35" s="3" t="s">
        <v>7</v>
      </c>
      <c r="U35" s="3" t="s">
        <v>4</v>
      </c>
      <c r="V35" s="3" t="s">
        <v>5</v>
      </c>
      <c r="W35" s="3" t="s">
        <v>6</v>
      </c>
      <c r="X35" s="3" t="s">
        <v>6</v>
      </c>
      <c r="Y35" s="3" t="s">
        <v>7</v>
      </c>
      <c r="Z35" s="3" t="s">
        <v>4</v>
      </c>
      <c r="AA35" s="3" t="s">
        <v>7</v>
      </c>
      <c r="AB35" s="3" t="s">
        <v>5</v>
      </c>
      <c r="AC35" s="3" t="s">
        <v>6</v>
      </c>
      <c r="AD35" s="3" t="s">
        <v>6</v>
      </c>
      <c r="AE35" s="3" t="s">
        <v>5</v>
      </c>
      <c r="AF35" s="3" t="s">
        <v>4</v>
      </c>
      <c r="AG35" s="3" t="s">
        <v>4</v>
      </c>
      <c r="AH35" s="3" t="s">
        <v>6</v>
      </c>
      <c r="AI35" s="3" t="s">
        <v>5</v>
      </c>
      <c r="AJ35" s="3" t="s">
        <v>4</v>
      </c>
      <c r="AK35" s="3" t="s">
        <v>4</v>
      </c>
      <c r="AL35" s="3" t="s">
        <v>5</v>
      </c>
      <c r="AM35" s="3" t="s">
        <v>5</v>
      </c>
      <c r="AN35" s="3" t="s">
        <v>4</v>
      </c>
      <c r="AO35" s="3" t="s">
        <v>5</v>
      </c>
      <c r="AP35" s="3" t="s">
        <v>4</v>
      </c>
      <c r="AQ35" s="3" t="s">
        <v>4</v>
      </c>
      <c r="AR35" s="3" t="s">
        <v>4</v>
      </c>
      <c r="AS35" s="3" t="s">
        <v>5</v>
      </c>
      <c r="AT35" s="3" t="s">
        <v>4</v>
      </c>
      <c r="AU35" s="3"/>
      <c r="AV35" s="3"/>
      <c r="AW35" s="3"/>
      <c r="AX35" s="3"/>
      <c r="AY35" s="3"/>
      <c r="AZ35" s="3"/>
      <c r="BA35" s="3"/>
      <c r="BB35" s="3"/>
    </row>
    <row r="36" spans="1:54" ht="15" x14ac:dyDescent="0.25">
      <c r="A36" s="7">
        <v>994114</v>
      </c>
      <c r="B36" t="s">
        <v>21</v>
      </c>
      <c r="C36" s="3">
        <v>43957</v>
      </c>
      <c r="D36" t="s">
        <v>22</v>
      </c>
      <c r="E36" s="3" cm="1">
        <f t="array" ref="E36">SUMPRODUCT(--(L36:AJ36=IF(K36="A",$L$2:$AJ$2,$L$3:$AJ$3)))</f>
        <v>14</v>
      </c>
      <c r="F36" s="3" cm="1">
        <f t="array" ref="F36">SUMPRODUCT(--(AK36:AT36=IF(K36="A",$AK$2:$AT$2,$AK$3:$AT$3)))</f>
        <v>7</v>
      </c>
      <c r="G36" s="3">
        <f t="shared" si="0"/>
        <v>49</v>
      </c>
      <c r="H36" s="10">
        <f t="shared" si="1"/>
        <v>57.647058823529413</v>
      </c>
      <c r="I36" s="11">
        <f t="shared" si="2"/>
        <v>-3.1013580636456706E-2</v>
      </c>
      <c r="J36" s="3" t="s">
        <v>5</v>
      </c>
      <c r="K36" s="3" t="s">
        <v>5</v>
      </c>
      <c r="L36" s="3" t="s">
        <v>5</v>
      </c>
      <c r="M36" s="3" t="s">
        <v>4</v>
      </c>
      <c r="N36" s="3" t="s">
        <v>6</v>
      </c>
      <c r="O36" s="17" t="s">
        <v>5</v>
      </c>
      <c r="P36" s="3" t="s">
        <v>6</v>
      </c>
      <c r="Q36" s="3" t="s">
        <v>5</v>
      </c>
      <c r="R36" s="3" t="s">
        <v>6</v>
      </c>
      <c r="S36" s="3" t="s">
        <v>6</v>
      </c>
      <c r="T36" s="3" t="s">
        <v>7</v>
      </c>
      <c r="U36" s="3" t="s">
        <v>6</v>
      </c>
      <c r="V36" s="3" t="s">
        <v>7</v>
      </c>
      <c r="W36" s="3" t="s">
        <v>4</v>
      </c>
      <c r="X36" s="3" t="s">
        <v>6</v>
      </c>
      <c r="Y36" s="3" t="s">
        <v>5</v>
      </c>
      <c r="Z36" s="3" t="s">
        <v>5</v>
      </c>
      <c r="AA36" s="3" t="s">
        <v>5</v>
      </c>
      <c r="AB36" s="3" t="s">
        <v>5</v>
      </c>
      <c r="AC36" s="3" t="s">
        <v>4</v>
      </c>
      <c r="AD36" s="3" t="s">
        <v>6</v>
      </c>
      <c r="AE36" s="3" t="s">
        <v>6</v>
      </c>
      <c r="AF36" s="3" t="s">
        <v>9</v>
      </c>
      <c r="AG36" s="3" t="s">
        <v>5</v>
      </c>
      <c r="AH36" s="3" t="s">
        <v>9</v>
      </c>
      <c r="AI36" s="3" t="s">
        <v>7</v>
      </c>
      <c r="AJ36" s="3" t="s">
        <v>4</v>
      </c>
      <c r="AK36" s="3" t="s">
        <v>5</v>
      </c>
      <c r="AL36" s="3" t="s">
        <v>5</v>
      </c>
      <c r="AM36" s="3" t="s">
        <v>4</v>
      </c>
      <c r="AN36" s="3" t="s">
        <v>4</v>
      </c>
      <c r="AO36" s="3" t="s">
        <v>5</v>
      </c>
      <c r="AP36" s="3" t="s">
        <v>4</v>
      </c>
      <c r="AQ36" s="3" t="s">
        <v>5</v>
      </c>
      <c r="AR36" s="3" t="s">
        <v>4</v>
      </c>
      <c r="AS36" s="3" t="s">
        <v>5</v>
      </c>
      <c r="AT36" s="3" t="s">
        <v>4</v>
      </c>
    </row>
    <row r="37" spans="1:54" ht="15" x14ac:dyDescent="0.25">
      <c r="A37" s="7">
        <v>997376</v>
      </c>
      <c r="B37" t="s">
        <v>89</v>
      </c>
      <c r="C37" s="3">
        <v>43958</v>
      </c>
      <c r="D37" t="s">
        <v>90</v>
      </c>
      <c r="E37" s="3" cm="1">
        <f t="array" ref="E37">SUMPRODUCT(--(L37:AJ37=IF(K37="A",$L$2:$AJ$2,$L$3:$AJ$3)))</f>
        <v>11</v>
      </c>
      <c r="F37" s="3" cm="1">
        <f t="array" ref="F37">SUMPRODUCT(--(AK37:AT37=IF(K37="A",$AK$2:$AT$2,$AK$3:$AT$3)))</f>
        <v>8</v>
      </c>
      <c r="G37" s="3">
        <f t="shared" si="0"/>
        <v>41</v>
      </c>
      <c r="H37" s="12">
        <f t="shared" si="1"/>
        <v>48.235294117647058</v>
      </c>
      <c r="I37" s="11">
        <f t="shared" si="2"/>
        <v>-0.51768823062392622</v>
      </c>
      <c r="J37" s="3" t="s">
        <v>5</v>
      </c>
      <c r="K37" s="3" t="s">
        <v>5</v>
      </c>
      <c r="L37" s="3" t="s">
        <v>7</v>
      </c>
      <c r="M37" s="3" t="s">
        <v>7</v>
      </c>
      <c r="N37" s="3" t="s">
        <v>7</v>
      </c>
      <c r="O37" s="17" t="s">
        <v>5</v>
      </c>
      <c r="P37" s="3" t="s">
        <v>5</v>
      </c>
      <c r="Q37" s="3" t="s">
        <v>6</v>
      </c>
      <c r="R37" s="3" t="s">
        <v>7</v>
      </c>
      <c r="S37" s="3" t="s">
        <v>6</v>
      </c>
      <c r="T37" s="3" t="s">
        <v>6</v>
      </c>
      <c r="U37" s="3" t="s">
        <v>6</v>
      </c>
      <c r="V37" s="3" t="s">
        <v>4</v>
      </c>
      <c r="W37" s="3" t="s">
        <v>6</v>
      </c>
      <c r="X37" s="3" t="s">
        <v>6</v>
      </c>
      <c r="Y37" s="3" t="s">
        <v>4</v>
      </c>
      <c r="Z37" s="3" t="s">
        <v>5</v>
      </c>
      <c r="AA37" s="3" t="s">
        <v>5</v>
      </c>
      <c r="AB37" s="3" t="s">
        <v>7</v>
      </c>
      <c r="AC37" s="3" t="s">
        <v>6</v>
      </c>
      <c r="AD37" s="3" t="s">
        <v>6</v>
      </c>
      <c r="AE37" s="3" t="s">
        <v>5</v>
      </c>
      <c r="AF37" s="3" t="s">
        <v>5</v>
      </c>
      <c r="AG37" s="3" t="s">
        <v>7</v>
      </c>
      <c r="AH37" s="3" t="s">
        <v>5</v>
      </c>
      <c r="AI37" s="3" t="s">
        <v>7</v>
      </c>
      <c r="AJ37" s="3" t="s">
        <v>4</v>
      </c>
      <c r="AK37" s="3" t="s">
        <v>5</v>
      </c>
      <c r="AL37" s="3" t="s">
        <v>4</v>
      </c>
      <c r="AM37" s="3" t="s">
        <v>5</v>
      </c>
      <c r="AN37" s="3" t="s">
        <v>5</v>
      </c>
      <c r="AO37" s="3" t="s">
        <v>5</v>
      </c>
      <c r="AP37" s="3" t="s">
        <v>4</v>
      </c>
      <c r="AQ37" s="3" t="s">
        <v>5</v>
      </c>
      <c r="AR37" s="3" t="s">
        <v>4</v>
      </c>
      <c r="AS37" s="3" t="s">
        <v>5</v>
      </c>
      <c r="AT37" s="3" t="s">
        <v>4</v>
      </c>
    </row>
    <row r="38" spans="1:54" ht="15" x14ac:dyDescent="0.25">
      <c r="A38" s="7">
        <v>1012960</v>
      </c>
      <c r="B38" t="s">
        <v>53</v>
      </c>
      <c r="C38" s="3">
        <v>43957</v>
      </c>
      <c r="D38" t="s">
        <v>54</v>
      </c>
      <c r="E38" s="3" cm="1">
        <f t="array" ref="E38">SUMPRODUCT(--(L38:AJ38=IF(K38="A",$L$2:$AJ$2,$L$3:$AJ$3)))</f>
        <v>10</v>
      </c>
      <c r="F38" s="3" cm="1">
        <f t="array" ref="F38">SUMPRODUCT(--(AK38:AT38=IF(K38="A",$AK$2:$AT$2,$AK$3:$AT$3)))</f>
        <v>9</v>
      </c>
      <c r="G38" s="3">
        <f t="shared" ref="G38:G69" si="3">E38*3+F38</f>
        <v>39</v>
      </c>
      <c r="H38" s="10">
        <f t="shared" ref="H38:H69" si="4">G38*100/85</f>
        <v>45.882352941176471</v>
      </c>
      <c r="I38" s="11">
        <f>(H38-$H$58)/$H$59</f>
        <v>-0.63935689312079347</v>
      </c>
      <c r="J38" s="3" t="s">
        <v>4</v>
      </c>
      <c r="K38" s="3" t="s">
        <v>4</v>
      </c>
      <c r="L38" s="3" t="s">
        <v>6</v>
      </c>
      <c r="M38" s="3" t="s">
        <v>9</v>
      </c>
      <c r="N38" s="3" t="s">
        <v>5</v>
      </c>
      <c r="O38" s="17" t="s">
        <v>5</v>
      </c>
      <c r="P38" s="3" t="s">
        <v>7</v>
      </c>
      <c r="Q38" s="3" t="s">
        <v>7</v>
      </c>
      <c r="R38" s="3" t="s">
        <v>6</v>
      </c>
      <c r="S38" s="3" t="s">
        <v>6</v>
      </c>
      <c r="T38" s="3" t="s">
        <v>6</v>
      </c>
      <c r="U38" s="3" t="s">
        <v>4</v>
      </c>
      <c r="V38" s="3" t="s">
        <v>4</v>
      </c>
      <c r="W38" s="3" t="s">
        <v>4</v>
      </c>
      <c r="X38" s="3" t="s">
        <v>6</v>
      </c>
      <c r="Y38" s="3" t="s">
        <v>5</v>
      </c>
      <c r="Z38" s="3" t="s">
        <v>5</v>
      </c>
      <c r="AA38" s="3" t="s">
        <v>5</v>
      </c>
      <c r="AB38" s="3" t="s">
        <v>5</v>
      </c>
      <c r="AC38" s="3" t="s">
        <v>6</v>
      </c>
      <c r="AD38" s="3" t="s">
        <v>4</v>
      </c>
      <c r="AE38" s="3" t="s">
        <v>5</v>
      </c>
      <c r="AF38" s="3" t="s">
        <v>9</v>
      </c>
      <c r="AG38" s="3" t="s">
        <v>5</v>
      </c>
      <c r="AH38" s="3" t="s">
        <v>6</v>
      </c>
      <c r="AI38" s="3" t="s">
        <v>5</v>
      </c>
      <c r="AJ38" s="3" t="s">
        <v>5</v>
      </c>
      <c r="AK38" s="3" t="s">
        <v>5</v>
      </c>
      <c r="AL38" s="3" t="s">
        <v>4</v>
      </c>
      <c r="AM38" s="3" t="s">
        <v>5</v>
      </c>
      <c r="AN38" s="3" t="s">
        <v>5</v>
      </c>
      <c r="AO38" s="3" t="s">
        <v>4</v>
      </c>
      <c r="AP38" s="3" t="s">
        <v>4</v>
      </c>
      <c r="AQ38" s="3" t="s">
        <v>5</v>
      </c>
      <c r="AR38" s="3" t="s">
        <v>4</v>
      </c>
      <c r="AS38" s="3" t="s">
        <v>5</v>
      </c>
      <c r="AT38" s="3" t="s">
        <v>4</v>
      </c>
    </row>
    <row r="39" spans="1:54" ht="15" x14ac:dyDescent="0.25">
      <c r="A39" s="7">
        <v>1014825</v>
      </c>
      <c r="B39" t="s">
        <v>49</v>
      </c>
      <c r="C39" s="3">
        <v>43958</v>
      </c>
      <c r="D39" t="s">
        <v>50</v>
      </c>
      <c r="E39" s="3" cm="1">
        <f t="array" ref="E39">SUMPRODUCT(--(L39:AJ39=IF(K39="A",$L$2:$AJ$2,$L$3:$AJ$3)))</f>
        <v>20</v>
      </c>
      <c r="F39" s="3" cm="1">
        <f t="array" ref="F39">SUMPRODUCT(--(AK39:AT39=IF(K39="A",$AK$2:$AT$2,$AK$3:$AT$3)))</f>
        <v>9</v>
      </c>
      <c r="G39" s="3">
        <f t="shared" si="3"/>
        <v>69</v>
      </c>
      <c r="H39" s="10">
        <f t="shared" si="4"/>
        <v>81.17647058823529</v>
      </c>
      <c r="I39" s="11">
        <f t="shared" si="2"/>
        <v>1.1856730443322165</v>
      </c>
      <c r="J39" s="3" t="s">
        <v>4</v>
      </c>
      <c r="K39" s="3" t="s">
        <v>4</v>
      </c>
      <c r="L39" s="3" t="s">
        <v>4</v>
      </c>
      <c r="M39" s="3" t="s">
        <v>7</v>
      </c>
      <c r="N39" s="3" t="s">
        <v>7</v>
      </c>
      <c r="O39" s="17" t="s">
        <v>5</v>
      </c>
      <c r="P39" s="3" t="s">
        <v>5</v>
      </c>
      <c r="Q39" s="3" t="s">
        <v>5</v>
      </c>
      <c r="R39" s="3" t="s">
        <v>7</v>
      </c>
      <c r="S39" s="3" t="s">
        <v>6</v>
      </c>
      <c r="T39" s="3" t="s">
        <v>6</v>
      </c>
      <c r="U39" s="3" t="s">
        <v>4</v>
      </c>
      <c r="V39" s="3" t="s">
        <v>6</v>
      </c>
      <c r="W39" s="3" t="s">
        <v>5</v>
      </c>
      <c r="X39" s="3" t="s">
        <v>6</v>
      </c>
      <c r="Y39" s="3" t="s">
        <v>5</v>
      </c>
      <c r="Z39" s="3" t="s">
        <v>5</v>
      </c>
      <c r="AA39" s="3" t="s">
        <v>4</v>
      </c>
      <c r="AB39" s="3" t="s">
        <v>5</v>
      </c>
      <c r="AC39" s="3" t="s">
        <v>5</v>
      </c>
      <c r="AD39" s="3" t="s">
        <v>6</v>
      </c>
      <c r="AE39" s="3" t="s">
        <v>6</v>
      </c>
      <c r="AF39" s="3" t="s">
        <v>7</v>
      </c>
      <c r="AG39" s="3" t="s">
        <v>7</v>
      </c>
      <c r="AH39" s="3" t="s">
        <v>6</v>
      </c>
      <c r="AI39" s="3" t="s">
        <v>4</v>
      </c>
      <c r="AJ39" s="3" t="s">
        <v>5</v>
      </c>
      <c r="AK39" s="3" t="s">
        <v>5</v>
      </c>
      <c r="AL39" s="3" t="s">
        <v>5</v>
      </c>
      <c r="AM39" s="3" t="s">
        <v>4</v>
      </c>
      <c r="AN39" s="3" t="s">
        <v>5</v>
      </c>
      <c r="AO39" s="3" t="s">
        <v>4</v>
      </c>
      <c r="AP39" s="3" t="s">
        <v>4</v>
      </c>
      <c r="AQ39" s="3" t="s">
        <v>5</v>
      </c>
      <c r="AR39" s="3" t="s">
        <v>4</v>
      </c>
      <c r="AS39" s="3" t="s">
        <v>5</v>
      </c>
      <c r="AT39" s="3" t="s">
        <v>4</v>
      </c>
    </row>
    <row r="40" spans="1:54" ht="15" x14ac:dyDescent="0.25">
      <c r="A40" s="7">
        <v>1016534</v>
      </c>
      <c r="B40" t="s">
        <v>15</v>
      </c>
      <c r="C40" s="3">
        <v>43958</v>
      </c>
      <c r="D40" t="s">
        <v>16</v>
      </c>
      <c r="E40" s="3" cm="1">
        <f t="array" ref="E40">SUMPRODUCT(--(L40:AJ40=IF(K40="A",$L$2:$AJ$2,$L$3:$AJ$3)))</f>
        <v>6</v>
      </c>
      <c r="F40" s="3" cm="1">
        <f t="array" ref="F40">SUMPRODUCT(--(AK40:AT40=IF(K40="A",$AK$2:$AT$2,$AK$3:$AT$3)))</f>
        <v>6</v>
      </c>
      <c r="G40" s="3">
        <f t="shared" si="3"/>
        <v>24</v>
      </c>
      <c r="H40" s="10">
        <f t="shared" si="4"/>
        <v>28.235294117647058</v>
      </c>
      <c r="I40" s="11">
        <f t="shared" si="2"/>
        <v>-1.5518718618472986</v>
      </c>
      <c r="J40" s="3" t="s">
        <v>5</v>
      </c>
      <c r="K40" s="3" t="s">
        <v>5</v>
      </c>
      <c r="L40" s="3" t="s">
        <v>4</v>
      </c>
      <c r="M40" s="3" t="s">
        <v>5</v>
      </c>
      <c r="N40" s="3" t="s">
        <v>4</v>
      </c>
      <c r="O40" s="17" t="s">
        <v>5</v>
      </c>
      <c r="P40" s="3" t="s">
        <v>4</v>
      </c>
      <c r="Q40" s="3" t="s">
        <v>6</v>
      </c>
      <c r="R40" s="3" t="s">
        <v>5</v>
      </c>
      <c r="S40" s="3" t="s">
        <v>6</v>
      </c>
      <c r="T40" s="3" t="s">
        <v>6</v>
      </c>
      <c r="U40" s="3" t="s">
        <v>6</v>
      </c>
      <c r="V40" s="3" t="s">
        <v>7</v>
      </c>
      <c r="W40" s="3" t="s">
        <v>4</v>
      </c>
      <c r="X40" s="3" t="s">
        <v>9</v>
      </c>
      <c r="Y40" s="3" t="s">
        <v>7</v>
      </c>
      <c r="Z40" s="3" t="s">
        <v>5</v>
      </c>
      <c r="AA40" s="3" t="s">
        <v>7</v>
      </c>
      <c r="AB40" s="3" t="s">
        <v>4</v>
      </c>
      <c r="AC40" s="3" t="s">
        <v>6</v>
      </c>
      <c r="AD40" s="3" t="s">
        <v>6</v>
      </c>
      <c r="AE40" s="3" t="s">
        <v>5</v>
      </c>
      <c r="AF40" s="3" t="s">
        <v>9</v>
      </c>
      <c r="AG40" s="3" t="s">
        <v>4</v>
      </c>
      <c r="AH40" s="3" t="s">
        <v>7</v>
      </c>
      <c r="AI40" s="3" t="s">
        <v>5</v>
      </c>
      <c r="AJ40" s="3" t="s">
        <v>4</v>
      </c>
      <c r="AK40" s="3" t="s">
        <v>5</v>
      </c>
      <c r="AL40" s="3" t="s">
        <v>5</v>
      </c>
      <c r="AM40" s="3" t="s">
        <v>4</v>
      </c>
      <c r="AN40" s="3" t="s">
        <v>4</v>
      </c>
      <c r="AO40" s="3" t="s">
        <v>4</v>
      </c>
      <c r="AP40" s="3" t="s">
        <v>5</v>
      </c>
      <c r="AQ40" s="3" t="s">
        <v>5</v>
      </c>
      <c r="AR40" s="3" t="s">
        <v>4</v>
      </c>
      <c r="AS40" s="3" t="s">
        <v>5</v>
      </c>
      <c r="AT40" s="3" t="s">
        <v>5</v>
      </c>
    </row>
    <row r="41" spans="1:54" ht="15" x14ac:dyDescent="0.25">
      <c r="A41" s="7">
        <v>1024952</v>
      </c>
      <c r="B41" t="s">
        <v>152</v>
      </c>
      <c r="C41" s="3">
        <v>43957</v>
      </c>
      <c r="D41" t="s">
        <v>153</v>
      </c>
      <c r="E41" s="3" cm="1">
        <f t="array" ref="E41">SUMPRODUCT(--(L41:AJ41=IF(K41="A",$L$2:$AJ$2,$L$3:$AJ$3)))</f>
        <v>18</v>
      </c>
      <c r="F41" s="3" cm="1">
        <f t="array" ref="F41">SUMPRODUCT(--(AK41:AT41=IF(K41="A",$AK$2:$AT$2,$AK$3:$AT$3)))</f>
        <v>10</v>
      </c>
      <c r="G41" s="3">
        <f t="shared" si="3"/>
        <v>64</v>
      </c>
      <c r="H41" s="10">
        <f t="shared" si="4"/>
        <v>75.294117647058826</v>
      </c>
      <c r="I41" s="11">
        <f t="shared" si="2"/>
        <v>0.88150138809004852</v>
      </c>
      <c r="J41" s="3" t="s">
        <v>5</v>
      </c>
      <c r="K41" s="3" t="s">
        <v>5</v>
      </c>
      <c r="L41" s="3" t="s">
        <v>5</v>
      </c>
      <c r="M41" s="3" t="s">
        <v>4</v>
      </c>
      <c r="N41" s="3" t="s">
        <v>4</v>
      </c>
      <c r="O41" s="17" t="s">
        <v>5</v>
      </c>
      <c r="P41" s="3" t="s">
        <v>7</v>
      </c>
      <c r="Q41" s="3" t="s">
        <v>5</v>
      </c>
      <c r="R41" s="3" t="s">
        <v>5</v>
      </c>
      <c r="S41" s="3" t="s">
        <v>6</v>
      </c>
      <c r="T41" s="3" t="s">
        <v>6</v>
      </c>
      <c r="U41" s="3" t="s">
        <v>4</v>
      </c>
      <c r="V41" s="3" t="s">
        <v>4</v>
      </c>
      <c r="W41" s="3" t="s">
        <v>6</v>
      </c>
      <c r="X41" s="3" t="s">
        <v>6</v>
      </c>
      <c r="Y41" s="3" t="s">
        <v>5</v>
      </c>
      <c r="Z41" s="3" t="s">
        <v>5</v>
      </c>
      <c r="AA41" s="3" t="s">
        <v>7</v>
      </c>
      <c r="AB41" s="3" t="s">
        <v>5</v>
      </c>
      <c r="AC41" s="3" t="s">
        <v>4</v>
      </c>
      <c r="AD41" s="3" t="s">
        <v>4</v>
      </c>
      <c r="AE41" s="3" t="s">
        <v>4</v>
      </c>
      <c r="AF41" s="3" t="s">
        <v>5</v>
      </c>
      <c r="AG41" s="3" t="s">
        <v>6</v>
      </c>
      <c r="AH41" s="3" t="s">
        <v>7</v>
      </c>
      <c r="AI41" s="3" t="s">
        <v>7</v>
      </c>
      <c r="AJ41" s="3" t="s">
        <v>5</v>
      </c>
      <c r="AK41" s="3" t="s">
        <v>5</v>
      </c>
      <c r="AL41" s="3" t="s">
        <v>4</v>
      </c>
      <c r="AM41" s="3" t="s">
        <v>4</v>
      </c>
      <c r="AN41" s="3" t="s">
        <v>5</v>
      </c>
      <c r="AO41" s="3" t="s">
        <v>4</v>
      </c>
      <c r="AP41" s="3" t="s">
        <v>4</v>
      </c>
      <c r="AQ41" s="3" t="s">
        <v>5</v>
      </c>
      <c r="AR41" s="3" t="s">
        <v>4</v>
      </c>
      <c r="AS41" s="3" t="s">
        <v>5</v>
      </c>
      <c r="AT41" s="3" t="s">
        <v>4</v>
      </c>
      <c r="AU41" s="3"/>
      <c r="AV41" s="3"/>
      <c r="AW41" s="3"/>
      <c r="AX41" s="3"/>
      <c r="AY41" s="3"/>
      <c r="AZ41" s="3"/>
      <c r="BA41" s="3"/>
      <c r="BB41" s="3"/>
    </row>
    <row r="42" spans="1:54" ht="15" x14ac:dyDescent="0.25">
      <c r="A42" s="7">
        <v>1035199</v>
      </c>
      <c r="B42" t="s">
        <v>59</v>
      </c>
      <c r="C42" s="3">
        <v>43957</v>
      </c>
      <c r="D42" t="s">
        <v>60</v>
      </c>
      <c r="E42" s="3" cm="1">
        <f t="array" ref="E42">SUMPRODUCT(--(L42:AJ42=IF(K42="A",$L$2:$AJ$2,$L$3:$AJ$3)))</f>
        <v>13</v>
      </c>
      <c r="F42" s="3" cm="1">
        <f t="array" ref="F42">SUMPRODUCT(--(AK42:AT42=IF(K42="A",$AK$2:$AT$2,$AK$3:$AT$3)))</f>
        <v>4</v>
      </c>
      <c r="G42" s="3">
        <f t="shared" si="3"/>
        <v>43</v>
      </c>
      <c r="H42" s="10">
        <f t="shared" si="4"/>
        <v>50.588235294117645</v>
      </c>
      <c r="I42" s="11">
        <f t="shared" si="2"/>
        <v>-0.39601956812705891</v>
      </c>
      <c r="J42" s="3" t="s">
        <v>5</v>
      </c>
      <c r="K42" s="3" t="s">
        <v>5</v>
      </c>
      <c r="L42" s="3" t="s">
        <v>4</v>
      </c>
      <c r="M42" s="3" t="s">
        <v>4</v>
      </c>
      <c r="N42" s="3" t="s">
        <v>7</v>
      </c>
      <c r="O42" s="17" t="s">
        <v>5</v>
      </c>
      <c r="P42" s="3" t="s">
        <v>5</v>
      </c>
      <c r="Q42" s="3" t="s">
        <v>6</v>
      </c>
      <c r="R42" s="3" t="s">
        <v>7</v>
      </c>
      <c r="S42" s="3" t="s">
        <v>5</v>
      </c>
      <c r="T42" s="3" t="s">
        <v>5</v>
      </c>
      <c r="U42" s="3" t="s">
        <v>4</v>
      </c>
      <c r="V42" s="3" t="s">
        <v>4</v>
      </c>
      <c r="W42" s="3" t="s">
        <v>7</v>
      </c>
      <c r="X42" s="3" t="s">
        <v>6</v>
      </c>
      <c r="Y42" s="3" t="s">
        <v>5</v>
      </c>
      <c r="Z42" s="3" t="s">
        <v>5</v>
      </c>
      <c r="AA42" s="3" t="s">
        <v>4</v>
      </c>
      <c r="AB42" s="3" t="s">
        <v>5</v>
      </c>
      <c r="AC42" s="3" t="s">
        <v>6</v>
      </c>
      <c r="AD42" s="3" t="s">
        <v>7</v>
      </c>
      <c r="AE42" s="3" t="s">
        <v>6</v>
      </c>
      <c r="AF42" s="3" t="s">
        <v>4</v>
      </c>
      <c r="AG42" s="3" t="s">
        <v>5</v>
      </c>
      <c r="AH42" s="3" t="s">
        <v>4</v>
      </c>
      <c r="AI42" s="3" t="s">
        <v>7</v>
      </c>
      <c r="AJ42" s="3" t="s">
        <v>4</v>
      </c>
      <c r="AK42" s="3" t="s">
        <v>4</v>
      </c>
      <c r="AL42" s="3" t="s">
        <v>4</v>
      </c>
      <c r="AM42" s="3" t="s">
        <v>5</v>
      </c>
      <c r="AN42" s="3" t="s">
        <v>4</v>
      </c>
      <c r="AO42" s="3" t="s">
        <v>5</v>
      </c>
      <c r="AP42" s="3" t="s">
        <v>4</v>
      </c>
      <c r="AQ42" s="3" t="s">
        <v>4</v>
      </c>
      <c r="AR42" s="3" t="s">
        <v>5</v>
      </c>
      <c r="AS42" s="3" t="s">
        <v>5</v>
      </c>
      <c r="AT42" s="3" t="s">
        <v>4</v>
      </c>
    </row>
    <row r="43" spans="1:54" ht="15" x14ac:dyDescent="0.25">
      <c r="A43" s="7">
        <v>1039827</v>
      </c>
      <c r="B43" t="s">
        <v>55</v>
      </c>
      <c r="C43" s="3">
        <v>43957</v>
      </c>
      <c r="D43" t="s">
        <v>56</v>
      </c>
      <c r="E43" s="3" cm="1">
        <f t="array" ref="E43">SUMPRODUCT(--(L43:AJ43=IF(K43="A",$L$2:$AJ$2,$L$3:$AJ$3)))</f>
        <v>19</v>
      </c>
      <c r="F43" s="3" cm="1">
        <f t="array" ref="F43">SUMPRODUCT(--(AK43:AT43=IF(K43="A",$AK$2:$AT$2,$AK$3:$AT$3)))</f>
        <v>10</v>
      </c>
      <c r="G43" s="3">
        <f t="shared" si="3"/>
        <v>67</v>
      </c>
      <c r="H43" s="10">
        <f t="shared" si="4"/>
        <v>78.82352941176471</v>
      </c>
      <c r="I43" s="11">
        <f t="shared" si="2"/>
        <v>1.0640043818353495</v>
      </c>
      <c r="J43" s="3" t="s">
        <v>4</v>
      </c>
      <c r="K43" s="3" t="s">
        <v>4</v>
      </c>
      <c r="L43" s="3" t="s">
        <v>4</v>
      </c>
      <c r="M43" s="3" t="s">
        <v>5</v>
      </c>
      <c r="N43" s="3" t="s">
        <v>5</v>
      </c>
      <c r="O43" s="17" t="s">
        <v>5</v>
      </c>
      <c r="P43" s="3" t="s">
        <v>5</v>
      </c>
      <c r="Q43" s="3" t="s">
        <v>4</v>
      </c>
      <c r="R43" s="3" t="s">
        <v>7</v>
      </c>
      <c r="S43" s="3" t="s">
        <v>6</v>
      </c>
      <c r="T43" s="3" t="s">
        <v>6</v>
      </c>
      <c r="U43" s="3" t="s">
        <v>4</v>
      </c>
      <c r="V43" s="3" t="s">
        <v>6</v>
      </c>
      <c r="W43" s="3" t="s">
        <v>5</v>
      </c>
      <c r="X43" s="3" t="s">
        <v>6</v>
      </c>
      <c r="Y43" s="3" t="s">
        <v>5</v>
      </c>
      <c r="Z43" s="3" t="s">
        <v>5</v>
      </c>
      <c r="AA43" s="3" t="s">
        <v>4</v>
      </c>
      <c r="AB43" s="3" t="s">
        <v>6</v>
      </c>
      <c r="AC43" s="3" t="s">
        <v>4</v>
      </c>
      <c r="AD43" s="3" t="s">
        <v>4</v>
      </c>
      <c r="AE43" s="3" t="s">
        <v>6</v>
      </c>
      <c r="AF43" s="3" t="s">
        <v>6</v>
      </c>
      <c r="AG43" s="3" t="s">
        <v>7</v>
      </c>
      <c r="AH43" s="3" t="s">
        <v>6</v>
      </c>
      <c r="AI43" s="3" t="s">
        <v>5</v>
      </c>
      <c r="AJ43" s="3" t="s">
        <v>5</v>
      </c>
      <c r="AK43" s="3" t="s">
        <v>5</v>
      </c>
      <c r="AL43" s="3" t="s">
        <v>4</v>
      </c>
      <c r="AM43" s="3" t="s">
        <v>4</v>
      </c>
      <c r="AN43" s="3" t="s">
        <v>5</v>
      </c>
      <c r="AO43" s="3" t="s">
        <v>4</v>
      </c>
      <c r="AP43" s="3" t="s">
        <v>4</v>
      </c>
      <c r="AQ43" s="3" t="s">
        <v>5</v>
      </c>
      <c r="AR43" s="3" t="s">
        <v>4</v>
      </c>
      <c r="AS43" s="3" t="s">
        <v>5</v>
      </c>
      <c r="AT43" s="3" t="s">
        <v>4</v>
      </c>
    </row>
    <row r="44" spans="1:54" ht="15" x14ac:dyDescent="0.25">
      <c r="A44" s="7">
        <v>1039936</v>
      </c>
      <c r="B44" t="s">
        <v>27</v>
      </c>
      <c r="C44" s="3">
        <v>43957</v>
      </c>
      <c r="D44" t="s">
        <v>28</v>
      </c>
      <c r="E44" s="3" cm="1">
        <f t="array" ref="E44">SUMPRODUCT(--(L44:AJ44=IF(K44="A",$L$2:$AJ$2,$L$3:$AJ$3)))</f>
        <v>12</v>
      </c>
      <c r="F44" s="3" cm="1">
        <f t="array" ref="F44">SUMPRODUCT(--(AK44:AT44=IF(K44="A",$AK$2:$AT$2,$AK$3:$AT$3)))</f>
        <v>9</v>
      </c>
      <c r="G44" s="3">
        <f t="shared" si="3"/>
        <v>45</v>
      </c>
      <c r="H44" s="10">
        <f t="shared" si="4"/>
        <v>52.941176470588232</v>
      </c>
      <c r="I44" s="11">
        <f t="shared" si="2"/>
        <v>-0.27435090563019165</v>
      </c>
      <c r="J44" s="3" t="s">
        <v>4</v>
      </c>
      <c r="K44" s="3" t="s">
        <v>4</v>
      </c>
      <c r="L44" s="3" t="s">
        <v>5</v>
      </c>
      <c r="M44" s="3" t="s">
        <v>4</v>
      </c>
      <c r="N44" s="3" t="s">
        <v>5</v>
      </c>
      <c r="O44" s="17" t="s">
        <v>5</v>
      </c>
      <c r="P44" s="3" t="s">
        <v>6</v>
      </c>
      <c r="Q44" s="3" t="s">
        <v>6</v>
      </c>
      <c r="R44" s="3" t="s">
        <v>7</v>
      </c>
      <c r="S44" s="3" t="s">
        <v>6</v>
      </c>
      <c r="T44" s="3" t="s">
        <v>7</v>
      </c>
      <c r="U44" s="3" t="s">
        <v>5</v>
      </c>
      <c r="V44" s="3" t="s">
        <v>7</v>
      </c>
      <c r="W44" s="3" t="s">
        <v>5</v>
      </c>
      <c r="X44" s="3" t="s">
        <v>6</v>
      </c>
      <c r="Y44" s="3" t="s">
        <v>5</v>
      </c>
      <c r="Z44" s="3" t="s">
        <v>5</v>
      </c>
      <c r="AA44" s="3" t="s">
        <v>7</v>
      </c>
      <c r="AB44" s="3" t="s">
        <v>6</v>
      </c>
      <c r="AC44" s="3" t="s">
        <v>6</v>
      </c>
      <c r="AD44" s="3" t="s">
        <v>5</v>
      </c>
      <c r="AE44" s="3" t="s">
        <v>7</v>
      </c>
      <c r="AF44" s="3" t="s">
        <v>7</v>
      </c>
      <c r="AG44" s="3" t="s">
        <v>7</v>
      </c>
      <c r="AH44" s="3" t="s">
        <v>5</v>
      </c>
      <c r="AI44" s="3" t="s">
        <v>9</v>
      </c>
      <c r="AJ44" s="3" t="s">
        <v>5</v>
      </c>
      <c r="AK44" s="3" t="s">
        <v>5</v>
      </c>
      <c r="AL44" s="3" t="s">
        <v>4</v>
      </c>
      <c r="AM44" s="3" t="s">
        <v>4</v>
      </c>
      <c r="AN44" s="3" t="s">
        <v>4</v>
      </c>
      <c r="AO44" s="3" t="s">
        <v>4</v>
      </c>
      <c r="AP44" s="3" t="s">
        <v>4</v>
      </c>
      <c r="AQ44" s="3" t="s">
        <v>5</v>
      </c>
      <c r="AR44" s="3" t="s">
        <v>4</v>
      </c>
      <c r="AS44" s="3" t="s">
        <v>5</v>
      </c>
      <c r="AT44" s="3" t="s">
        <v>4</v>
      </c>
    </row>
    <row r="45" spans="1:54" ht="15" x14ac:dyDescent="0.25">
      <c r="A45" s="7">
        <v>1043694</v>
      </c>
      <c r="B45" t="s">
        <v>37</v>
      </c>
      <c r="C45" s="3">
        <v>43958</v>
      </c>
      <c r="D45" t="s">
        <v>38</v>
      </c>
      <c r="E45" s="3" cm="1">
        <f t="array" ref="E45">SUMPRODUCT(--(L45:AJ45=IF(K45="A",$L$2:$AJ$2,$L$3:$AJ$3)))</f>
        <v>21</v>
      </c>
      <c r="F45" s="3" cm="1">
        <f t="array" ref="F45">SUMPRODUCT(--(AK45:AT45=IF(K45="A",$AK$2:$AT$2,$AK$3:$AT$3)))</f>
        <v>10</v>
      </c>
      <c r="G45" s="3">
        <f t="shared" si="3"/>
        <v>73</v>
      </c>
      <c r="H45" s="10">
        <f t="shared" si="4"/>
        <v>85.882352941176464</v>
      </c>
      <c r="I45" s="11">
        <f t="shared" si="2"/>
        <v>1.429010369325951</v>
      </c>
      <c r="J45" s="3" t="s">
        <v>4</v>
      </c>
      <c r="K45" s="3" t="s">
        <v>4</v>
      </c>
      <c r="L45" s="3" t="s">
        <v>4</v>
      </c>
      <c r="M45" s="3" t="s">
        <v>7</v>
      </c>
      <c r="N45" s="3" t="s">
        <v>5</v>
      </c>
      <c r="O45" s="17" t="s">
        <v>5</v>
      </c>
      <c r="P45" s="3" t="s">
        <v>5</v>
      </c>
      <c r="Q45" s="3" t="s">
        <v>5</v>
      </c>
      <c r="R45" s="3" t="s">
        <v>7</v>
      </c>
      <c r="S45" s="3" t="s">
        <v>6</v>
      </c>
      <c r="T45" s="3" t="s">
        <v>6</v>
      </c>
      <c r="U45" s="3" t="s">
        <v>4</v>
      </c>
      <c r="V45" s="3" t="s">
        <v>7</v>
      </c>
      <c r="W45" s="3" t="s">
        <v>5</v>
      </c>
      <c r="X45" s="3" t="s">
        <v>6</v>
      </c>
      <c r="Y45" s="3" t="s">
        <v>5</v>
      </c>
      <c r="Z45" s="3" t="s">
        <v>5</v>
      </c>
      <c r="AA45" s="3" t="s">
        <v>4</v>
      </c>
      <c r="AB45" s="3" t="s">
        <v>4</v>
      </c>
      <c r="AC45" s="3" t="s">
        <v>4</v>
      </c>
      <c r="AD45" s="3" t="s">
        <v>6</v>
      </c>
      <c r="AE45" s="3" t="s">
        <v>6</v>
      </c>
      <c r="AF45" s="3" t="s">
        <v>7</v>
      </c>
      <c r="AG45" s="3" t="s">
        <v>4</v>
      </c>
      <c r="AH45" s="3" t="s">
        <v>6</v>
      </c>
      <c r="AI45" s="3" t="s">
        <v>5</v>
      </c>
      <c r="AJ45" s="3" t="s">
        <v>4</v>
      </c>
      <c r="AK45" s="3" t="s">
        <v>5</v>
      </c>
      <c r="AL45" s="3" t="s">
        <v>4</v>
      </c>
      <c r="AM45" s="3" t="s">
        <v>4</v>
      </c>
      <c r="AN45" s="3" t="s">
        <v>5</v>
      </c>
      <c r="AO45" s="3" t="s">
        <v>4</v>
      </c>
      <c r="AP45" s="3" t="s">
        <v>4</v>
      </c>
      <c r="AQ45" s="3" t="s">
        <v>5</v>
      </c>
      <c r="AR45" s="3" t="s">
        <v>4</v>
      </c>
      <c r="AS45" s="3" t="s">
        <v>5</v>
      </c>
      <c r="AT45" s="3" t="s">
        <v>4</v>
      </c>
    </row>
    <row r="46" spans="1:54" ht="15" x14ac:dyDescent="0.25">
      <c r="A46" s="7">
        <v>1047765</v>
      </c>
      <c r="B46" t="s">
        <v>47</v>
      </c>
      <c r="C46" s="3">
        <v>43957</v>
      </c>
      <c r="D46" t="s">
        <v>48</v>
      </c>
      <c r="E46" s="3" cm="1">
        <f t="array" ref="E46">SUMPRODUCT(--(L46:AJ46=IF(K46="A",$L$2:$AJ$2,$L$3:$AJ$3)))</f>
        <v>5</v>
      </c>
      <c r="F46" s="3" cm="1">
        <f t="array" ref="F46">SUMPRODUCT(--(AK46:AT46=IF(K46="A",$AK$2:$AT$2,$AK$3:$AT$3)))</f>
        <v>4</v>
      </c>
      <c r="G46" s="3">
        <f t="shared" si="3"/>
        <v>19</v>
      </c>
      <c r="H46" s="10">
        <f t="shared" si="4"/>
        <v>22.352941176470587</v>
      </c>
      <c r="I46" s="11">
        <f t="shared" si="2"/>
        <v>-1.856043518089467</v>
      </c>
      <c r="J46" s="3" t="s">
        <v>4</v>
      </c>
      <c r="K46" s="3" t="s">
        <v>4</v>
      </c>
      <c r="L46" s="3" t="s">
        <v>7</v>
      </c>
      <c r="M46" s="3" t="s">
        <v>6</v>
      </c>
      <c r="N46" s="3" t="s">
        <v>5</v>
      </c>
      <c r="O46" s="17" t="s">
        <v>5</v>
      </c>
      <c r="P46" s="3" t="s">
        <v>4</v>
      </c>
      <c r="Q46" s="3" t="s">
        <v>7</v>
      </c>
      <c r="R46" s="3" t="s">
        <v>6</v>
      </c>
      <c r="S46" s="3" t="s">
        <v>5</v>
      </c>
      <c r="T46" s="3" t="s">
        <v>4</v>
      </c>
      <c r="U46" s="3" t="s">
        <v>4</v>
      </c>
      <c r="V46" s="3" t="s">
        <v>4</v>
      </c>
      <c r="W46" s="3" t="s">
        <v>6</v>
      </c>
      <c r="X46" s="3" t="s">
        <v>7</v>
      </c>
      <c r="Y46" s="3" t="s">
        <v>5</v>
      </c>
      <c r="Z46" s="3" t="s">
        <v>6</v>
      </c>
      <c r="AA46" s="3" t="s">
        <v>7</v>
      </c>
      <c r="AB46" s="3" t="s">
        <v>4</v>
      </c>
      <c r="AC46" s="3" t="s">
        <v>6</v>
      </c>
      <c r="AD46" s="3" t="s">
        <v>6</v>
      </c>
      <c r="AE46" s="3" t="s">
        <v>5</v>
      </c>
      <c r="AF46" s="3" t="s">
        <v>6</v>
      </c>
      <c r="AG46" s="3" t="s">
        <v>7</v>
      </c>
      <c r="AH46" s="3" t="s">
        <v>4</v>
      </c>
      <c r="AI46" s="3" t="s">
        <v>9</v>
      </c>
      <c r="AJ46" s="3" t="s">
        <v>7</v>
      </c>
      <c r="AK46" s="3" t="s">
        <v>4</v>
      </c>
      <c r="AL46" s="3" t="s">
        <v>5</v>
      </c>
      <c r="AM46" s="3" t="s">
        <v>5</v>
      </c>
      <c r="AN46" s="3" t="s">
        <v>4</v>
      </c>
      <c r="AO46" s="3" t="s">
        <v>5</v>
      </c>
      <c r="AP46" s="3" t="s">
        <v>4</v>
      </c>
      <c r="AQ46" s="3" t="s">
        <v>5</v>
      </c>
      <c r="AR46" s="3" t="s">
        <v>4</v>
      </c>
      <c r="AS46" s="3" t="s">
        <v>5</v>
      </c>
      <c r="AT46" s="3" t="s">
        <v>5</v>
      </c>
    </row>
    <row r="47" spans="1:54" ht="15" x14ac:dyDescent="0.25">
      <c r="A47" s="7">
        <v>1063699</v>
      </c>
      <c r="B47" t="s">
        <v>31</v>
      </c>
      <c r="C47" s="3">
        <v>43958</v>
      </c>
      <c r="D47" t="s">
        <v>32</v>
      </c>
      <c r="E47" s="3" cm="1">
        <f t="array" ref="E47">SUMPRODUCT(--(L47:AJ47=IF(K47="A",$L$2:$AJ$2,$L$3:$AJ$3)))</f>
        <v>12</v>
      </c>
      <c r="F47" s="3" cm="1">
        <f t="array" ref="F47">SUMPRODUCT(--(AK47:AT47=IF(K47="A",$AK$2:$AT$2,$AK$3:$AT$3)))</f>
        <v>7</v>
      </c>
      <c r="G47" s="3">
        <f t="shared" si="3"/>
        <v>43</v>
      </c>
      <c r="H47" s="10">
        <f t="shared" si="4"/>
        <v>50.588235294117645</v>
      </c>
      <c r="I47" s="11">
        <f t="shared" si="2"/>
        <v>-0.39601956812705891</v>
      </c>
      <c r="J47" s="3" t="s">
        <v>5</v>
      </c>
      <c r="K47" s="3" t="s">
        <v>5</v>
      </c>
      <c r="L47" s="3" t="s">
        <v>4</v>
      </c>
      <c r="M47" s="3" t="s">
        <v>4</v>
      </c>
      <c r="N47" s="3" t="s">
        <v>6</v>
      </c>
      <c r="O47" s="17" t="s">
        <v>5</v>
      </c>
      <c r="P47" s="3" t="s">
        <v>6</v>
      </c>
      <c r="Q47" s="3" t="s">
        <v>6</v>
      </c>
      <c r="R47" s="3" t="s">
        <v>5</v>
      </c>
      <c r="S47" s="3" t="s">
        <v>6</v>
      </c>
      <c r="T47" s="3" t="s">
        <v>6</v>
      </c>
      <c r="U47" s="3" t="s">
        <v>4</v>
      </c>
      <c r="V47" s="3" t="s">
        <v>4</v>
      </c>
      <c r="W47" s="3" t="s">
        <v>4</v>
      </c>
      <c r="X47" s="3" t="s">
        <v>6</v>
      </c>
      <c r="Y47" s="3" t="s">
        <v>4</v>
      </c>
      <c r="Z47" s="3" t="s">
        <v>5</v>
      </c>
      <c r="AA47" s="3" t="s">
        <v>4</v>
      </c>
      <c r="AB47" s="3" t="s">
        <v>5</v>
      </c>
      <c r="AC47" s="3" t="s">
        <v>6</v>
      </c>
      <c r="AD47" s="3" t="s">
        <v>7</v>
      </c>
      <c r="AE47" s="3" t="s">
        <v>4</v>
      </c>
      <c r="AF47" s="3" t="s">
        <v>4</v>
      </c>
      <c r="AG47" s="3" t="s">
        <v>6</v>
      </c>
      <c r="AH47" s="3" t="s">
        <v>4</v>
      </c>
      <c r="AI47" s="3" t="s">
        <v>7</v>
      </c>
      <c r="AJ47" s="3" t="s">
        <v>4</v>
      </c>
      <c r="AK47" s="3" t="s">
        <v>5</v>
      </c>
      <c r="AL47" s="3" t="s">
        <v>4</v>
      </c>
      <c r="AM47" s="3" t="s">
        <v>4</v>
      </c>
      <c r="AN47" s="3" t="s">
        <v>5</v>
      </c>
      <c r="AO47" s="3" t="s">
        <v>5</v>
      </c>
      <c r="AP47" s="3" t="s">
        <v>4</v>
      </c>
      <c r="AQ47" s="3" t="s">
        <v>4</v>
      </c>
      <c r="AR47" s="3" t="s">
        <v>4</v>
      </c>
      <c r="AS47" s="3" t="s">
        <v>5</v>
      </c>
      <c r="AT47" s="3" t="s">
        <v>5</v>
      </c>
    </row>
    <row r="48" spans="1:54" ht="15" x14ac:dyDescent="0.25">
      <c r="A48" s="7">
        <v>1065569</v>
      </c>
      <c r="B48" s="4" t="s">
        <v>75</v>
      </c>
      <c r="C48" s="3">
        <v>43958</v>
      </c>
      <c r="D48" t="s">
        <v>76</v>
      </c>
      <c r="E48" s="3" cm="1">
        <f t="array" ref="E48">SUMPRODUCT(--(L48:AJ48=IF(K48="A",$L$2:$AJ$2,$L$3:$AJ$3)))</f>
        <v>14</v>
      </c>
      <c r="F48" s="3" cm="1">
        <f t="array" ref="F48">SUMPRODUCT(--(AK48:AT48=IF(K48="A",$AK$2:$AT$2,$AK$3:$AT$3)))</f>
        <v>8</v>
      </c>
      <c r="G48" s="3">
        <f t="shared" si="3"/>
        <v>50</v>
      </c>
      <c r="H48" s="10">
        <f t="shared" si="4"/>
        <v>58.823529411764703</v>
      </c>
      <c r="I48" s="11">
        <f t="shared" si="2"/>
        <v>2.9820750611976754E-2</v>
      </c>
      <c r="J48" s="3" t="s">
        <v>5</v>
      </c>
      <c r="K48" s="3" t="s">
        <v>5</v>
      </c>
      <c r="L48" s="3" t="s">
        <v>5</v>
      </c>
      <c r="M48" s="3" t="s">
        <v>4</v>
      </c>
      <c r="N48" s="3" t="s">
        <v>5</v>
      </c>
      <c r="O48" s="17" t="s">
        <v>5</v>
      </c>
      <c r="P48" s="3" t="s">
        <v>6</v>
      </c>
      <c r="Q48" s="3" t="s">
        <v>5</v>
      </c>
      <c r="R48" s="3" t="s">
        <v>7</v>
      </c>
      <c r="S48" s="3" t="s">
        <v>6</v>
      </c>
      <c r="T48" s="3" t="s">
        <v>7</v>
      </c>
      <c r="U48" s="3" t="s">
        <v>6</v>
      </c>
      <c r="V48" s="3" t="s">
        <v>6</v>
      </c>
      <c r="W48" s="3" t="s">
        <v>6</v>
      </c>
      <c r="X48" s="3" t="s">
        <v>6</v>
      </c>
      <c r="Y48" s="3" t="s">
        <v>5</v>
      </c>
      <c r="Z48" s="3" t="s">
        <v>5</v>
      </c>
      <c r="AA48" s="3" t="s">
        <v>7</v>
      </c>
      <c r="AB48" s="3" t="s">
        <v>5</v>
      </c>
      <c r="AC48" s="3" t="s">
        <v>6</v>
      </c>
      <c r="AD48" s="3" t="s">
        <v>6</v>
      </c>
      <c r="AE48" s="3" t="s">
        <v>4</v>
      </c>
      <c r="AF48" s="3" t="s">
        <v>5</v>
      </c>
      <c r="AG48" s="3" t="s">
        <v>5</v>
      </c>
      <c r="AH48" s="3" t="s">
        <v>4</v>
      </c>
      <c r="AI48" s="3" t="s">
        <v>7</v>
      </c>
      <c r="AJ48" s="3" t="s">
        <v>4</v>
      </c>
      <c r="AK48" s="3" t="s">
        <v>5</v>
      </c>
      <c r="AL48" s="3" t="s">
        <v>4</v>
      </c>
      <c r="AM48" s="3" t="s">
        <v>5</v>
      </c>
      <c r="AN48" s="3" t="s">
        <v>5</v>
      </c>
      <c r="AO48" s="3" t="s">
        <v>5</v>
      </c>
      <c r="AP48" s="3" t="s">
        <v>4</v>
      </c>
      <c r="AQ48" s="3" t="s">
        <v>5</v>
      </c>
      <c r="AR48" s="3" t="s">
        <v>4</v>
      </c>
      <c r="AS48" s="3" t="s">
        <v>5</v>
      </c>
      <c r="AT48" s="3" t="s">
        <v>4</v>
      </c>
    </row>
    <row r="49" spans="1:46" ht="15" x14ac:dyDescent="0.25">
      <c r="A49" s="7">
        <v>1068669</v>
      </c>
      <c r="B49" t="s">
        <v>81</v>
      </c>
      <c r="C49" s="3">
        <v>43957</v>
      </c>
      <c r="D49" t="s">
        <v>82</v>
      </c>
      <c r="E49" s="3" cm="1">
        <f t="array" ref="E49">SUMPRODUCT(--(L49:AJ49=IF(K49="A",$L$2:$AJ$2,$L$3:$AJ$3)))</f>
        <v>24</v>
      </c>
      <c r="F49" s="3" cm="1">
        <f t="array" ref="F49">SUMPRODUCT(--(AK49:AT49=IF(K49="A",$AK$2:$AT$2,$AK$3:$AT$3)))</f>
        <v>10</v>
      </c>
      <c r="G49" s="3">
        <f t="shared" si="3"/>
        <v>82</v>
      </c>
      <c r="H49" s="10">
        <f t="shared" si="4"/>
        <v>96.470588235294116</v>
      </c>
      <c r="I49" s="11">
        <f t="shared" si="2"/>
        <v>1.9765193505618543</v>
      </c>
      <c r="J49" s="3" t="s">
        <v>5</v>
      </c>
      <c r="K49" s="3" t="s">
        <v>5</v>
      </c>
      <c r="L49" s="3" t="s">
        <v>5</v>
      </c>
      <c r="M49" s="3" t="s">
        <v>4</v>
      </c>
      <c r="N49" s="3" t="s">
        <v>7</v>
      </c>
      <c r="O49" s="17" t="s">
        <v>5</v>
      </c>
      <c r="P49" s="3" t="s">
        <v>6</v>
      </c>
      <c r="Q49" s="3" t="s">
        <v>5</v>
      </c>
      <c r="R49" s="3" t="s">
        <v>7</v>
      </c>
      <c r="S49" s="3" t="s">
        <v>6</v>
      </c>
      <c r="T49" s="3" t="s">
        <v>6</v>
      </c>
      <c r="U49" s="3" t="s">
        <v>4</v>
      </c>
      <c r="V49" s="3" t="s">
        <v>4</v>
      </c>
      <c r="W49" s="3" t="s">
        <v>7</v>
      </c>
      <c r="X49" s="3" t="s">
        <v>6</v>
      </c>
      <c r="Y49" s="3" t="s">
        <v>5</v>
      </c>
      <c r="Z49" s="3" t="s">
        <v>5</v>
      </c>
      <c r="AA49" s="3" t="s">
        <v>6</v>
      </c>
      <c r="AB49" s="3" t="s">
        <v>5</v>
      </c>
      <c r="AC49" s="3" t="s">
        <v>4</v>
      </c>
      <c r="AD49" s="3" t="s">
        <v>6</v>
      </c>
      <c r="AE49" s="3" t="s">
        <v>6</v>
      </c>
      <c r="AF49" s="3" t="s">
        <v>5</v>
      </c>
      <c r="AG49" s="3" t="s">
        <v>6</v>
      </c>
      <c r="AH49" s="3" t="s">
        <v>7</v>
      </c>
      <c r="AI49" s="3" t="s">
        <v>7</v>
      </c>
      <c r="AJ49" s="3" t="s">
        <v>4</v>
      </c>
      <c r="AK49" s="3" t="s">
        <v>5</v>
      </c>
      <c r="AL49" s="3" t="s">
        <v>4</v>
      </c>
      <c r="AM49" s="3" t="s">
        <v>4</v>
      </c>
      <c r="AN49" s="3" t="s">
        <v>5</v>
      </c>
      <c r="AO49" s="3" t="s">
        <v>4</v>
      </c>
      <c r="AP49" s="3" t="s">
        <v>4</v>
      </c>
      <c r="AQ49" s="3" t="s">
        <v>5</v>
      </c>
      <c r="AR49" s="3" t="s">
        <v>4</v>
      </c>
      <c r="AS49" s="3" t="s">
        <v>5</v>
      </c>
      <c r="AT49" s="3" t="s">
        <v>4</v>
      </c>
    </row>
    <row r="50" spans="1:46" ht="15" x14ac:dyDescent="0.25">
      <c r="A50" s="7">
        <v>928878</v>
      </c>
      <c r="B50" t="s">
        <v>141</v>
      </c>
      <c r="C50" s="3">
        <v>43958</v>
      </c>
      <c r="D50" t="s">
        <v>143</v>
      </c>
      <c r="E50" s="3" cm="1">
        <f t="array" ref="E50">SUMPRODUCT(--(L50:AJ50=IF(K50="A",$L$2:$AJ$2,$L$3:$AJ$3)))</f>
        <v>15</v>
      </c>
      <c r="F50" s="3" cm="1">
        <f t="array" ref="F50">SUMPRODUCT(--(AK50:AT50=IF(K50="A",$AK$2:$AT$2,$AK$3:$AT$3)))</f>
        <v>9</v>
      </c>
      <c r="G50" s="3">
        <f t="shared" si="3"/>
        <v>54</v>
      </c>
      <c r="H50" s="10">
        <f t="shared" si="4"/>
        <v>63.529411764705884</v>
      </c>
      <c r="I50" s="11">
        <f t="shared" si="2"/>
        <v>0.2731580756057117</v>
      </c>
      <c r="J50" s="3" t="s">
        <v>4</v>
      </c>
      <c r="K50" s="3" t="s">
        <v>4</v>
      </c>
      <c r="L50" s="3" t="s">
        <v>4</v>
      </c>
      <c r="M50" s="3" t="s">
        <v>9</v>
      </c>
      <c r="N50" s="3" t="s">
        <v>4</v>
      </c>
      <c r="O50" s="17" t="s">
        <v>5</v>
      </c>
      <c r="P50" s="3" t="s">
        <v>6</v>
      </c>
      <c r="Q50" s="3" t="s">
        <v>5</v>
      </c>
      <c r="R50" s="3" t="s">
        <v>7</v>
      </c>
      <c r="S50" s="3" t="s">
        <v>6</v>
      </c>
      <c r="T50" s="3" t="s">
        <v>6</v>
      </c>
      <c r="U50" s="3" t="s">
        <v>4</v>
      </c>
      <c r="V50" s="3" t="s">
        <v>4</v>
      </c>
      <c r="W50" s="3" t="s">
        <v>5</v>
      </c>
      <c r="X50" s="3" t="s">
        <v>6</v>
      </c>
      <c r="Y50" s="3" t="s">
        <v>7</v>
      </c>
      <c r="Z50" s="3" t="s">
        <v>4</v>
      </c>
      <c r="AA50" s="3" t="s">
        <v>7</v>
      </c>
      <c r="AB50" s="3" t="s">
        <v>7</v>
      </c>
      <c r="AC50" s="3" t="s">
        <v>4</v>
      </c>
      <c r="AD50" s="3" t="s">
        <v>6</v>
      </c>
      <c r="AE50" s="3" t="s">
        <v>6</v>
      </c>
      <c r="AF50" s="3" t="s">
        <v>7</v>
      </c>
      <c r="AG50" s="3" t="s">
        <v>7</v>
      </c>
      <c r="AH50" s="3" t="s">
        <v>5</v>
      </c>
      <c r="AI50" s="3" t="s">
        <v>5</v>
      </c>
      <c r="AJ50" s="3" t="s">
        <v>4</v>
      </c>
      <c r="AK50" s="3" t="s">
        <v>5</v>
      </c>
      <c r="AL50" s="3" t="s">
        <v>4</v>
      </c>
      <c r="AM50" s="3" t="s">
        <v>4</v>
      </c>
      <c r="AN50" s="3" t="s">
        <v>5</v>
      </c>
      <c r="AO50" s="3" t="s">
        <v>5</v>
      </c>
      <c r="AP50" s="3" t="s">
        <v>4</v>
      </c>
      <c r="AQ50" s="3" t="s">
        <v>5</v>
      </c>
      <c r="AR50" s="3" t="s">
        <v>4</v>
      </c>
      <c r="AS50" s="3" t="s">
        <v>5</v>
      </c>
      <c r="AT50" s="3" t="s">
        <v>4</v>
      </c>
    </row>
    <row r="51" spans="1:46" ht="15" x14ac:dyDescent="0.25">
      <c r="A51" s="7">
        <v>1028207</v>
      </c>
      <c r="B51" t="s">
        <v>140</v>
      </c>
      <c r="C51" s="3">
        <v>43957</v>
      </c>
      <c r="D51" t="s">
        <v>146</v>
      </c>
      <c r="E51" s="3" cm="1">
        <f t="array" ref="E51">SUMPRODUCT(--(L51:AJ51=IF(K51="A",$L$2:$AJ$2,$L$3:$AJ$3)))</f>
        <v>6</v>
      </c>
      <c r="F51" s="3" cm="1">
        <f t="array" ref="F51">SUMPRODUCT(--(AK51:AT51=IF(K51="A",$AK$2:$AT$2,$AK$3:$AT$3)))</f>
        <v>6</v>
      </c>
      <c r="G51" s="3">
        <f t="shared" si="3"/>
        <v>24</v>
      </c>
      <c r="H51" s="10">
        <f t="shared" si="4"/>
        <v>28.235294117647058</v>
      </c>
      <c r="I51" s="11">
        <f t="shared" si="2"/>
        <v>-1.5518718618472986</v>
      </c>
      <c r="J51" s="3" t="s">
        <v>5</v>
      </c>
      <c r="K51" s="3" t="s">
        <v>5</v>
      </c>
      <c r="L51" s="3" t="s">
        <v>7</v>
      </c>
      <c r="M51" s="3" t="s">
        <v>4</v>
      </c>
      <c r="N51" s="3" t="s">
        <v>4</v>
      </c>
      <c r="O51" s="17" t="s">
        <v>5</v>
      </c>
      <c r="P51" s="3" t="s">
        <v>7</v>
      </c>
      <c r="Q51" s="3" t="s">
        <v>5</v>
      </c>
      <c r="R51" s="3" t="s">
        <v>6</v>
      </c>
      <c r="S51" s="3" t="s">
        <v>4</v>
      </c>
      <c r="T51" s="3" t="s">
        <v>5</v>
      </c>
      <c r="U51" s="3" t="s">
        <v>6</v>
      </c>
      <c r="V51" s="3" t="s">
        <v>6</v>
      </c>
      <c r="W51" s="3" t="s">
        <v>6</v>
      </c>
      <c r="X51" s="3" t="s">
        <v>9</v>
      </c>
      <c r="Y51" s="3" t="s">
        <v>6</v>
      </c>
      <c r="Z51" s="3" t="s">
        <v>5</v>
      </c>
      <c r="AA51" s="3" t="s">
        <v>4</v>
      </c>
      <c r="AB51" s="3" t="s">
        <v>7</v>
      </c>
      <c r="AC51" s="3" t="s">
        <v>6</v>
      </c>
      <c r="AD51" s="3" t="s">
        <v>7</v>
      </c>
      <c r="AE51" s="3" t="s">
        <v>6</v>
      </c>
      <c r="AF51" s="3" t="s">
        <v>4</v>
      </c>
      <c r="AG51" s="3" t="s">
        <v>6</v>
      </c>
      <c r="AH51" s="3" t="s">
        <v>9</v>
      </c>
      <c r="AI51" s="3" t="s">
        <v>5</v>
      </c>
      <c r="AJ51" s="3" t="s">
        <v>6</v>
      </c>
      <c r="AK51" s="3" t="s">
        <v>4</v>
      </c>
      <c r="AL51" s="3" t="s">
        <v>4</v>
      </c>
      <c r="AM51" s="3" t="s">
        <v>5</v>
      </c>
      <c r="AN51" s="3" t="s">
        <v>4</v>
      </c>
      <c r="AO51" s="3" t="s">
        <v>4</v>
      </c>
      <c r="AP51" s="3" t="s">
        <v>4</v>
      </c>
      <c r="AQ51" s="3" t="s">
        <v>5</v>
      </c>
      <c r="AR51" s="3" t="s">
        <v>4</v>
      </c>
      <c r="AS51" s="3" t="s">
        <v>4</v>
      </c>
      <c r="AT51" s="3" t="s">
        <v>4</v>
      </c>
    </row>
    <row r="52" spans="1:46" ht="15" x14ac:dyDescent="0.25">
      <c r="A52" s="7">
        <v>778750</v>
      </c>
      <c r="B52" t="s">
        <v>139</v>
      </c>
      <c r="C52" s="3">
        <v>43958</v>
      </c>
      <c r="D52" t="s">
        <v>147</v>
      </c>
      <c r="E52" s="3" cm="1">
        <f t="array" ref="E52">SUMPRODUCT(--(L52:AJ52=IF(K52="A",$L$2:$AJ$2,$L$3:$AJ$3)))</f>
        <v>22</v>
      </c>
      <c r="F52" s="3" cm="1">
        <f t="array" ref="F52">SUMPRODUCT(--(AK52:AT52=IF(K52="A",$AK$2:$AT$2,$AK$3:$AT$3)))</f>
        <v>10</v>
      </c>
      <c r="G52" s="3">
        <f t="shared" si="3"/>
        <v>76</v>
      </c>
      <c r="H52" s="10">
        <f t="shared" si="4"/>
        <v>89.411764705882348</v>
      </c>
      <c r="I52" s="11">
        <f t="shared" si="2"/>
        <v>1.6115133630712521</v>
      </c>
      <c r="J52" s="3" t="s">
        <v>4</v>
      </c>
      <c r="K52" s="3" t="s">
        <v>4</v>
      </c>
      <c r="L52" s="3" t="s">
        <v>4</v>
      </c>
      <c r="M52" s="3" t="s">
        <v>7</v>
      </c>
      <c r="N52" s="3" t="s">
        <v>6</v>
      </c>
      <c r="O52" s="17" t="s">
        <v>5</v>
      </c>
      <c r="P52" s="3" t="s">
        <v>5</v>
      </c>
      <c r="Q52" s="3" t="s">
        <v>5</v>
      </c>
      <c r="R52" s="3" t="s">
        <v>7</v>
      </c>
      <c r="S52" s="3" t="s">
        <v>6</v>
      </c>
      <c r="T52" s="3" t="s">
        <v>6</v>
      </c>
      <c r="U52" s="3" t="s">
        <v>7</v>
      </c>
      <c r="V52" s="3" t="s">
        <v>6</v>
      </c>
      <c r="W52" s="3" t="s">
        <v>7</v>
      </c>
      <c r="X52" s="3" t="s">
        <v>6</v>
      </c>
      <c r="Y52" s="3" t="s">
        <v>5</v>
      </c>
      <c r="Z52" s="3" t="s">
        <v>5</v>
      </c>
      <c r="AA52" s="3" t="s">
        <v>4</v>
      </c>
      <c r="AB52" s="3" t="s">
        <v>6</v>
      </c>
      <c r="AC52" s="3" t="s">
        <v>4</v>
      </c>
      <c r="AD52" s="3" t="s">
        <v>6</v>
      </c>
      <c r="AE52" s="3" t="s">
        <v>6</v>
      </c>
      <c r="AF52" s="3" t="s">
        <v>7</v>
      </c>
      <c r="AG52" s="3" t="s">
        <v>7</v>
      </c>
      <c r="AH52" s="3" t="s">
        <v>6</v>
      </c>
      <c r="AI52" s="3" t="s">
        <v>5</v>
      </c>
      <c r="AJ52" s="3" t="s">
        <v>5</v>
      </c>
      <c r="AK52" s="3" t="s">
        <v>5</v>
      </c>
      <c r="AL52" s="3" t="s">
        <v>4</v>
      </c>
      <c r="AM52" s="3" t="s">
        <v>4</v>
      </c>
      <c r="AN52" s="3" t="s">
        <v>5</v>
      </c>
      <c r="AO52" s="3" t="s">
        <v>4</v>
      </c>
      <c r="AP52" s="3" t="s">
        <v>4</v>
      </c>
      <c r="AQ52" s="3" t="s">
        <v>5</v>
      </c>
      <c r="AR52" s="3" t="s">
        <v>4</v>
      </c>
      <c r="AS52" s="3" t="s">
        <v>5</v>
      </c>
      <c r="AT52" s="3" t="s">
        <v>4</v>
      </c>
    </row>
    <row r="53" spans="1:46" ht="15" x14ac:dyDescent="0.25">
      <c r="A53" s="7">
        <v>1022282</v>
      </c>
      <c r="B53" t="s">
        <v>138</v>
      </c>
      <c r="C53" s="3">
        <v>43957</v>
      </c>
      <c r="D53" t="s">
        <v>148</v>
      </c>
      <c r="E53" s="3" cm="1">
        <f t="array" ref="E53">SUMPRODUCT(--(L53:AJ53=IF(K53="A",$L$2:$AJ$2,$L$3:$AJ$3)))</f>
        <v>11</v>
      </c>
      <c r="F53" s="3" cm="1">
        <f t="array" ref="F53">SUMPRODUCT(--(AK53:AT53=IF(K53="A",$AK$2:$AT$2,$AK$3:$AT$3)))</f>
        <v>7</v>
      </c>
      <c r="G53" s="3">
        <f t="shared" si="3"/>
        <v>40</v>
      </c>
      <c r="H53" s="10">
        <f t="shared" si="4"/>
        <v>47.058823529411768</v>
      </c>
      <c r="I53" s="11">
        <f t="shared" si="2"/>
        <v>-0.57852256187235973</v>
      </c>
      <c r="J53" s="3" t="s">
        <v>8</v>
      </c>
      <c r="K53" s="3" t="s">
        <v>4</v>
      </c>
      <c r="L53" s="3" t="s">
        <v>6</v>
      </c>
      <c r="M53" s="3" t="s">
        <v>5</v>
      </c>
      <c r="N53" s="3" t="s">
        <v>4</v>
      </c>
      <c r="O53" s="17" t="s">
        <v>5</v>
      </c>
      <c r="P53" s="3" t="s">
        <v>7</v>
      </c>
      <c r="Q53" s="3" t="s">
        <v>5</v>
      </c>
      <c r="R53" s="3" t="s">
        <v>7</v>
      </c>
      <c r="S53" s="3" t="s">
        <v>6</v>
      </c>
      <c r="T53" s="3" t="s">
        <v>5</v>
      </c>
      <c r="U53" s="3" t="s">
        <v>4</v>
      </c>
      <c r="V53" s="3" t="s">
        <v>4</v>
      </c>
      <c r="W53" s="3" t="s">
        <v>5</v>
      </c>
      <c r="X53" s="3" t="s">
        <v>5</v>
      </c>
      <c r="Y53" s="3" t="s">
        <v>7</v>
      </c>
      <c r="Z53" s="3" t="s">
        <v>5</v>
      </c>
      <c r="AA53" s="3" t="s">
        <v>5</v>
      </c>
      <c r="AB53" s="3" t="s">
        <v>7</v>
      </c>
      <c r="AC53" s="3" t="s">
        <v>7</v>
      </c>
      <c r="AD53" s="3" t="s">
        <v>6</v>
      </c>
      <c r="AE53" s="3" t="s">
        <v>5</v>
      </c>
      <c r="AF53" s="3" t="s">
        <v>7</v>
      </c>
      <c r="AG53" s="3" t="s">
        <v>7</v>
      </c>
      <c r="AH53" s="3" t="s">
        <v>6</v>
      </c>
      <c r="AI53" s="3" t="s">
        <v>9</v>
      </c>
      <c r="AJ53" s="3" t="s">
        <v>7</v>
      </c>
      <c r="AK53" s="3" t="s">
        <v>5</v>
      </c>
      <c r="AL53" s="3" t="s">
        <v>5</v>
      </c>
      <c r="AM53" s="3" t="s">
        <v>4</v>
      </c>
      <c r="AN53" s="3" t="s">
        <v>4</v>
      </c>
      <c r="AO53" s="3" t="s">
        <v>4</v>
      </c>
      <c r="AP53" s="3" t="s">
        <v>4</v>
      </c>
      <c r="AQ53" s="3" t="s">
        <v>5</v>
      </c>
      <c r="AR53" s="3" t="s">
        <v>4</v>
      </c>
      <c r="AS53" s="3" t="s">
        <v>4</v>
      </c>
      <c r="AT53" s="3" t="s">
        <v>4</v>
      </c>
    </row>
    <row r="54" spans="1:46" ht="15" x14ac:dyDescent="0.25">
      <c r="A54" s="7">
        <v>986455</v>
      </c>
      <c r="B54" t="s">
        <v>137</v>
      </c>
      <c r="C54" s="3">
        <v>43957</v>
      </c>
      <c r="D54" t="s">
        <v>149</v>
      </c>
      <c r="E54" s="3" cm="1">
        <f t="array" ref="E54">SUMPRODUCT(--(L54:AJ54=IF(K54="A",$L$2:$AJ$2,$L$3:$AJ$3)))</f>
        <v>11</v>
      </c>
      <c r="F54" s="3" cm="1">
        <f t="array" ref="F54">SUMPRODUCT(--(AK54:AT54=IF(K54="A",$AK$2:$AT$2,$AK$3:$AT$3)))</f>
        <v>8</v>
      </c>
      <c r="G54" s="3">
        <f t="shared" si="3"/>
        <v>41</v>
      </c>
      <c r="H54" s="10">
        <f t="shared" si="4"/>
        <v>48.235294117647058</v>
      </c>
      <c r="I54" s="11">
        <f t="shared" si="2"/>
        <v>-0.51768823062392622</v>
      </c>
      <c r="J54" s="3" t="s">
        <v>5</v>
      </c>
      <c r="K54" s="3" t="s">
        <v>5</v>
      </c>
      <c r="L54" s="3" t="s">
        <v>7</v>
      </c>
      <c r="M54" s="3" t="s">
        <v>7</v>
      </c>
      <c r="N54" s="3" t="s">
        <v>7</v>
      </c>
      <c r="O54" s="17" t="s">
        <v>5</v>
      </c>
      <c r="P54" s="3" t="s">
        <v>5</v>
      </c>
      <c r="Q54" s="3" t="s">
        <v>7</v>
      </c>
      <c r="R54" s="3" t="s">
        <v>7</v>
      </c>
      <c r="S54" s="3" t="s">
        <v>7</v>
      </c>
      <c r="T54" s="3" t="s">
        <v>7</v>
      </c>
      <c r="U54" s="3" t="s">
        <v>4</v>
      </c>
      <c r="V54" s="3" t="s">
        <v>4</v>
      </c>
      <c r="W54" s="3" t="s">
        <v>4</v>
      </c>
      <c r="X54" s="3" t="s">
        <v>6</v>
      </c>
      <c r="Y54" s="3" t="s">
        <v>4</v>
      </c>
      <c r="Z54" s="3" t="s">
        <v>5</v>
      </c>
      <c r="AA54" s="3" t="s">
        <v>7</v>
      </c>
      <c r="AB54" s="3" t="s">
        <v>5</v>
      </c>
      <c r="AC54" s="3" t="s">
        <v>6</v>
      </c>
      <c r="AD54" s="3" t="s">
        <v>7</v>
      </c>
      <c r="AE54" s="3" t="s">
        <v>6</v>
      </c>
      <c r="AF54" s="3" t="s">
        <v>7</v>
      </c>
      <c r="AG54" s="3" t="s">
        <v>6</v>
      </c>
      <c r="AH54" s="3" t="s">
        <v>4</v>
      </c>
      <c r="AI54" s="3" t="s">
        <v>7</v>
      </c>
      <c r="AJ54" s="3" t="s">
        <v>9</v>
      </c>
      <c r="AK54" s="3" t="s">
        <v>5</v>
      </c>
      <c r="AL54" s="3" t="s">
        <v>4</v>
      </c>
      <c r="AM54" s="3" t="s">
        <v>4</v>
      </c>
      <c r="AN54" s="3" t="s">
        <v>4</v>
      </c>
      <c r="AO54" s="3" t="s">
        <v>5</v>
      </c>
      <c r="AP54" s="3" t="s">
        <v>4</v>
      </c>
      <c r="AQ54" s="3" t="s">
        <v>5</v>
      </c>
      <c r="AR54" s="3" t="s">
        <v>4</v>
      </c>
      <c r="AS54" s="3" t="s">
        <v>5</v>
      </c>
      <c r="AT54" s="3" t="s">
        <v>4</v>
      </c>
    </row>
    <row r="55" spans="1:46" ht="15" x14ac:dyDescent="0.25">
      <c r="A55" s="7">
        <v>1038679</v>
      </c>
      <c r="B55" t="s">
        <v>150</v>
      </c>
      <c r="C55" s="3">
        <v>43958</v>
      </c>
      <c r="D55" t="s">
        <v>151</v>
      </c>
      <c r="E55" s="3" cm="1">
        <f t="array" ref="E55">SUMPRODUCT(--(L55:AJ55=IF(K55="A",$L$2:$AJ$2,$L$3:$AJ$3)))</f>
        <v>8</v>
      </c>
      <c r="F55" s="3" cm="1">
        <f t="array" ref="F55">SUMPRODUCT(--(AK55:AT55=IF(K55="A",$AK$2:$AT$2,$AK$3:$AT$3)))</f>
        <v>6</v>
      </c>
      <c r="G55" s="3">
        <f t="shared" si="3"/>
        <v>30</v>
      </c>
      <c r="H55" s="10">
        <f t="shared" si="4"/>
        <v>35.294117647058826</v>
      </c>
      <c r="I55" s="11">
        <f t="shared" si="2"/>
        <v>-1.1868658743566964</v>
      </c>
      <c r="J55" s="3" t="s">
        <v>5</v>
      </c>
      <c r="K55" s="3" t="s">
        <v>5</v>
      </c>
      <c r="L55" s="3" t="s">
        <v>6</v>
      </c>
      <c r="M55" s="3" t="s">
        <v>6</v>
      </c>
      <c r="N55" s="3" t="s">
        <v>9</v>
      </c>
      <c r="O55" s="17" t="s">
        <v>5</v>
      </c>
      <c r="P55" s="3" t="s">
        <v>5</v>
      </c>
      <c r="Q55" s="3" t="s">
        <v>4</v>
      </c>
      <c r="R55" s="3" t="s">
        <v>5</v>
      </c>
      <c r="S55" s="3" t="s">
        <v>6</v>
      </c>
      <c r="T55" s="3" t="s">
        <v>6</v>
      </c>
      <c r="U55" s="3" t="s">
        <v>7</v>
      </c>
      <c r="V55" s="3" t="s">
        <v>5</v>
      </c>
      <c r="W55" s="3" t="s">
        <v>4</v>
      </c>
      <c r="X55" s="3" t="s">
        <v>7</v>
      </c>
      <c r="Y55" s="3" t="s">
        <v>7</v>
      </c>
      <c r="Z55" s="3" t="s">
        <v>5</v>
      </c>
      <c r="AA55" s="3" t="s">
        <v>4</v>
      </c>
      <c r="AB55" s="3" t="s">
        <v>5</v>
      </c>
      <c r="AC55" s="3" t="s">
        <v>6</v>
      </c>
      <c r="AD55" s="3" t="s">
        <v>6</v>
      </c>
      <c r="AE55" s="3" t="s">
        <v>6</v>
      </c>
      <c r="AF55" s="3" t="s">
        <v>5</v>
      </c>
      <c r="AG55" s="3" t="s">
        <v>4</v>
      </c>
      <c r="AH55" s="3" t="s">
        <v>9</v>
      </c>
      <c r="AI55" s="3" t="s">
        <v>4</v>
      </c>
      <c r="AJ55" s="3" t="s">
        <v>9</v>
      </c>
      <c r="AK55" s="3" t="s">
        <v>5</v>
      </c>
      <c r="AL55" s="3" t="s">
        <v>4</v>
      </c>
      <c r="AM55" s="3" t="s">
        <v>5</v>
      </c>
      <c r="AN55" s="3" t="s">
        <v>5</v>
      </c>
      <c r="AO55" s="3" t="s">
        <v>5</v>
      </c>
      <c r="AP55" s="3" t="s">
        <v>4</v>
      </c>
      <c r="AQ55" s="3" t="s">
        <v>5</v>
      </c>
      <c r="AR55" s="3" t="s">
        <v>4</v>
      </c>
      <c r="AS55" s="3" t="s">
        <v>4</v>
      </c>
      <c r="AT55" s="3" t="s">
        <v>5</v>
      </c>
    </row>
    <row r="56" spans="1:46" ht="15" x14ac:dyDescent="0.25">
      <c r="A56" s="7">
        <v>1070102</v>
      </c>
      <c r="B56" t="s">
        <v>144</v>
      </c>
      <c r="C56" s="3">
        <v>43958</v>
      </c>
      <c r="D56" t="s">
        <v>145</v>
      </c>
      <c r="E56" s="3" cm="1">
        <f t="array" ref="E56">SUMPRODUCT(--(L56:AJ56=IF(K56="A",$L$2:$AJ$2,$L$3:$AJ$3)))</f>
        <v>11</v>
      </c>
      <c r="F56" s="3" cm="1">
        <f t="array" ref="F56">SUMPRODUCT(--(AK56:AT56=IF(K56="A",$AK$2:$AT$2,$AK$3:$AT$3)))</f>
        <v>7</v>
      </c>
      <c r="G56" s="3">
        <f t="shared" si="3"/>
        <v>40</v>
      </c>
      <c r="H56" s="10">
        <f t="shared" si="4"/>
        <v>47.058823529411768</v>
      </c>
      <c r="I56" s="11">
        <f t="shared" si="2"/>
        <v>-0.57852256187235973</v>
      </c>
      <c r="J56" s="3" t="s">
        <v>4</v>
      </c>
      <c r="K56" s="3" t="s">
        <v>4</v>
      </c>
      <c r="L56" s="3" t="s">
        <v>4</v>
      </c>
      <c r="M56" s="3" t="s">
        <v>5</v>
      </c>
      <c r="N56" s="3" t="s">
        <v>5</v>
      </c>
      <c r="O56" s="17" t="s">
        <v>5</v>
      </c>
      <c r="P56" s="3" t="s">
        <v>6</v>
      </c>
      <c r="Q56" s="3" t="s">
        <v>6</v>
      </c>
      <c r="R56" s="3" t="s">
        <v>7</v>
      </c>
      <c r="S56" s="3" t="s">
        <v>4</v>
      </c>
      <c r="T56" s="3" t="s">
        <v>6</v>
      </c>
      <c r="U56" s="3" t="s">
        <v>6</v>
      </c>
      <c r="V56" s="3" t="s">
        <v>7</v>
      </c>
      <c r="W56" s="3" t="s">
        <v>6</v>
      </c>
      <c r="X56" s="3" t="s">
        <v>7</v>
      </c>
      <c r="Y56" s="3" t="s">
        <v>4</v>
      </c>
      <c r="Z56" s="3" t="s">
        <v>5</v>
      </c>
      <c r="AA56" s="3" t="s">
        <v>5</v>
      </c>
      <c r="AB56" s="3" t="s">
        <v>4</v>
      </c>
      <c r="AC56" s="3" t="s">
        <v>6</v>
      </c>
      <c r="AD56" s="3" t="s">
        <v>6</v>
      </c>
      <c r="AE56" s="3" t="s">
        <v>6</v>
      </c>
      <c r="AF56" s="3" t="s">
        <v>7</v>
      </c>
      <c r="AG56" s="3" t="s">
        <v>7</v>
      </c>
      <c r="AH56" s="3" t="s">
        <v>6</v>
      </c>
      <c r="AI56" s="3" t="s">
        <v>4</v>
      </c>
      <c r="AJ56" s="3" t="s">
        <v>4</v>
      </c>
      <c r="AK56" s="3" t="s">
        <v>5</v>
      </c>
      <c r="AL56" s="3" t="s">
        <v>4</v>
      </c>
      <c r="AM56" s="3" t="s">
        <v>4</v>
      </c>
      <c r="AN56" s="3" t="s">
        <v>5</v>
      </c>
      <c r="AO56" s="3" t="s">
        <v>5</v>
      </c>
      <c r="AP56" s="3" t="s">
        <v>4</v>
      </c>
      <c r="AQ56" s="3" t="s">
        <v>5</v>
      </c>
      <c r="AR56" s="3" t="s">
        <v>5</v>
      </c>
      <c r="AS56" s="3" t="s">
        <v>4</v>
      </c>
      <c r="AT56" s="3" t="s">
        <v>4</v>
      </c>
    </row>
    <row r="57" spans="1:46" x14ac:dyDescent="0.2">
      <c r="J57"/>
    </row>
    <row r="58" spans="1:46" x14ac:dyDescent="0.2">
      <c r="G58" s="14" t="s">
        <v>158</v>
      </c>
      <c r="H58" s="13">
        <f>AVERAGE(H6:H56)</f>
        <v>58.246828143021922</v>
      </c>
      <c r="J58"/>
    </row>
    <row r="59" spans="1:46" x14ac:dyDescent="0.2">
      <c r="G59" s="14" t="s">
        <v>159</v>
      </c>
      <c r="H59" s="11">
        <f>_xlfn.STDEV.P(H6:H56)</f>
        <v>19.338925308981434</v>
      </c>
      <c r="J59"/>
    </row>
    <row r="60" spans="1:46" x14ac:dyDescent="0.2">
      <c r="B60" s="3"/>
      <c r="E60" s="3"/>
      <c r="F60" s="3"/>
      <c r="G60" s="14" t="s">
        <v>160</v>
      </c>
      <c r="H60" s="13">
        <f>MAX(H6:H56)</f>
        <v>96.470588235294116</v>
      </c>
      <c r="J60"/>
      <c r="K60" s="15"/>
      <c r="L60" s="15"/>
    </row>
    <row r="61" spans="1:46" x14ac:dyDescent="0.2">
      <c r="B61" s="3"/>
      <c r="E61" s="3"/>
      <c r="G61" s="14" t="s">
        <v>161</v>
      </c>
      <c r="H61" s="15">
        <f>MIN(H6:H56)</f>
        <v>22.352941176470587</v>
      </c>
      <c r="I61" s="14"/>
      <c r="J61" s="14"/>
      <c r="K61" s="15"/>
      <c r="L61" s="15"/>
    </row>
    <row r="62" spans="1:46" x14ac:dyDescent="0.2">
      <c r="B62" s="3"/>
      <c r="E62" s="3"/>
      <c r="G62" s="14" t="s">
        <v>165</v>
      </c>
      <c r="H62" s="13">
        <f>MEDIAN(H6:H56)</f>
        <v>57.647058823529413</v>
      </c>
      <c r="I62" s="14"/>
      <c r="J62" s="14"/>
      <c r="K62" s="15"/>
      <c r="L62" s="15"/>
    </row>
    <row r="63" spans="1:46" x14ac:dyDescent="0.2">
      <c r="B63" s="3"/>
      <c r="E63" s="3"/>
      <c r="G63" s="14" t="s">
        <v>162</v>
      </c>
      <c r="H63" s="14">
        <f>COUNT(H6:H56)</f>
        <v>51</v>
      </c>
      <c r="I63" s="14"/>
      <c r="J63" s="14"/>
      <c r="K63" s="15"/>
      <c r="L63" s="15"/>
    </row>
    <row r="64" spans="1:46" x14ac:dyDescent="0.2">
      <c r="B64" s="3"/>
      <c r="D64" s="5"/>
      <c r="E64" s="3"/>
      <c r="F64" s="3"/>
      <c r="G64" s="3"/>
      <c r="H64" s="14"/>
      <c r="I64" s="14"/>
      <c r="J64" s="14"/>
      <c r="K64" s="16"/>
      <c r="L64" s="16"/>
    </row>
    <row r="65" spans="2:46" x14ac:dyDescent="0.2">
      <c r="B65" s="3"/>
      <c r="D65" s="5"/>
      <c r="E65" s="3"/>
      <c r="H65" s="14"/>
      <c r="I65" s="14"/>
      <c r="J65" s="14"/>
      <c r="K65" s="15"/>
      <c r="L65" s="15"/>
    </row>
    <row r="66" spans="2:46" x14ac:dyDescent="0.2">
      <c r="D66" s="5"/>
      <c r="H66" s="14"/>
      <c r="I66" s="14"/>
      <c r="J66" s="14"/>
      <c r="K66" s="15"/>
      <c r="L66" s="15"/>
    </row>
    <row r="67" spans="2:46" x14ac:dyDescent="0.2">
      <c r="D67" s="5"/>
      <c r="H67" s="14"/>
      <c r="I67" s="14"/>
      <c r="J67" s="14"/>
      <c r="K67" s="15"/>
      <c r="L67" s="15"/>
    </row>
    <row r="68" spans="2:46" x14ac:dyDescent="0.2">
      <c r="D68" s="5"/>
      <c r="H68" s="14"/>
      <c r="I68" s="14"/>
      <c r="J68" s="14"/>
      <c r="K68" s="15"/>
      <c r="L68" s="15"/>
    </row>
    <row r="69" spans="2:46" x14ac:dyDescent="0.2">
      <c r="D69" s="5"/>
      <c r="H69" s="14"/>
      <c r="I69" s="14"/>
      <c r="J69" s="14"/>
      <c r="K69" s="16"/>
      <c r="L69" s="16"/>
    </row>
    <row r="70" spans="2:46" x14ac:dyDescent="0.2">
      <c r="D70" s="5"/>
      <c r="H70" s="14"/>
      <c r="I70" s="14"/>
      <c r="J70" s="14"/>
      <c r="K70" s="16"/>
      <c r="L70" s="16"/>
    </row>
    <row r="71" spans="2:46" x14ac:dyDescent="0.2">
      <c r="D71" s="5"/>
      <c r="H71" s="14"/>
      <c r="I71" s="14"/>
      <c r="J71" s="14"/>
      <c r="K71" s="14"/>
      <c r="L71" s="14"/>
    </row>
    <row r="72" spans="2:46" x14ac:dyDescent="0.2">
      <c r="D72" s="5"/>
      <c r="H72" s="14"/>
      <c r="I72" s="14"/>
      <c r="J72" s="14"/>
      <c r="K72" s="14"/>
      <c r="L72" s="14"/>
    </row>
    <row r="73" spans="2:46" x14ac:dyDescent="0.2">
      <c r="D73" s="5"/>
    </row>
    <row r="74" spans="2:46" x14ac:dyDescent="0.2">
      <c r="D74" s="5"/>
    </row>
    <row r="75" spans="2:46" x14ac:dyDescent="0.2">
      <c r="C75" s="9"/>
      <c r="E75" s="3"/>
      <c r="F75" s="3"/>
      <c r="G75" s="3"/>
      <c r="H75" s="3"/>
      <c r="I75" s="3"/>
      <c r="AR75"/>
      <c r="AS75"/>
      <c r="AT75"/>
    </row>
    <row r="76" spans="2:46" x14ac:dyDescent="0.2">
      <c r="AP76"/>
      <c r="AQ76"/>
      <c r="AR76"/>
      <c r="AS76"/>
      <c r="AT76"/>
    </row>
    <row r="77" spans="2:46" x14ac:dyDescent="0.2">
      <c r="AP77"/>
      <c r="AQ77"/>
      <c r="AR77"/>
      <c r="AS77"/>
      <c r="AT77"/>
    </row>
    <row r="78" spans="2:46" x14ac:dyDescent="0.2">
      <c r="AP78"/>
      <c r="AQ78"/>
      <c r="AR78"/>
      <c r="AS78"/>
      <c r="AT78"/>
    </row>
    <row r="79" spans="2:46" x14ac:dyDescent="0.2">
      <c r="AP79"/>
      <c r="AQ79"/>
      <c r="AR79"/>
      <c r="AS79"/>
      <c r="AT79"/>
    </row>
    <row r="80" spans="2:46" x14ac:dyDescent="0.2">
      <c r="AP80"/>
      <c r="AQ80"/>
      <c r="AR80"/>
      <c r="AS80"/>
      <c r="AT80"/>
    </row>
    <row r="81" spans="42:46" x14ac:dyDescent="0.2">
      <c r="AP81"/>
      <c r="AQ81"/>
      <c r="AR81"/>
      <c r="AS81"/>
      <c r="AT81"/>
    </row>
    <row r="82" spans="42:46" x14ac:dyDescent="0.2">
      <c r="AP82"/>
      <c r="AQ82"/>
      <c r="AR82"/>
      <c r="AS82"/>
      <c r="AT82"/>
    </row>
    <row r="83" spans="42:46" x14ac:dyDescent="0.2">
      <c r="AP83"/>
      <c r="AQ83"/>
      <c r="AR83"/>
      <c r="AS83"/>
      <c r="AT83"/>
    </row>
    <row r="84" spans="42:46" x14ac:dyDescent="0.2">
      <c r="AP84"/>
      <c r="AQ84"/>
      <c r="AR84"/>
      <c r="AS84"/>
      <c r="AT84"/>
    </row>
    <row r="85" spans="42:46" x14ac:dyDescent="0.2">
      <c r="AP85"/>
      <c r="AQ85"/>
      <c r="AR85"/>
      <c r="AS85"/>
      <c r="AT85"/>
    </row>
    <row r="86" spans="42:46" x14ac:dyDescent="0.2">
      <c r="AP86"/>
      <c r="AQ86"/>
      <c r="AR86"/>
      <c r="AS86"/>
      <c r="AT86"/>
    </row>
    <row r="87" spans="42:46" x14ac:dyDescent="0.2">
      <c r="AP87"/>
      <c r="AQ87"/>
      <c r="AR87"/>
      <c r="AS87"/>
      <c r="AT87"/>
    </row>
    <row r="88" spans="42:46" x14ac:dyDescent="0.2">
      <c r="AP88"/>
      <c r="AQ88"/>
      <c r="AR88"/>
      <c r="AS88"/>
      <c r="AT88"/>
    </row>
    <row r="89" spans="42:46" x14ac:dyDescent="0.2">
      <c r="AP89"/>
      <c r="AQ89"/>
      <c r="AR89"/>
      <c r="AS89"/>
      <c r="AT89"/>
    </row>
    <row r="90" spans="42:46" x14ac:dyDescent="0.2">
      <c r="AP90"/>
      <c r="AQ90"/>
      <c r="AR90"/>
      <c r="AS90"/>
      <c r="AT90"/>
    </row>
    <row r="91" spans="42:46" x14ac:dyDescent="0.2">
      <c r="AP91"/>
      <c r="AQ91"/>
      <c r="AR91"/>
      <c r="AS91"/>
      <c r="AT91"/>
    </row>
    <row r="92" spans="42:46" x14ac:dyDescent="0.2">
      <c r="AP92"/>
      <c r="AQ92"/>
      <c r="AR92"/>
      <c r="AS92"/>
      <c r="AT92"/>
    </row>
    <row r="93" spans="42:46" x14ac:dyDescent="0.2">
      <c r="AP93"/>
      <c r="AQ93"/>
      <c r="AR93"/>
      <c r="AS93"/>
      <c r="AT93"/>
    </row>
    <row r="94" spans="42:46" x14ac:dyDescent="0.2">
      <c r="AP94"/>
      <c r="AQ94"/>
      <c r="AR94"/>
      <c r="AS94"/>
      <c r="AT94"/>
    </row>
    <row r="95" spans="42:46" x14ac:dyDescent="0.2">
      <c r="AP95"/>
      <c r="AQ95"/>
      <c r="AR95"/>
      <c r="AS95"/>
      <c r="AT95"/>
    </row>
    <row r="96" spans="42:46" x14ac:dyDescent="0.2">
      <c r="AP96"/>
      <c r="AQ96"/>
      <c r="AR96"/>
      <c r="AS96"/>
      <c r="AT96"/>
    </row>
    <row r="97" spans="42:46" x14ac:dyDescent="0.2">
      <c r="AP97"/>
      <c r="AQ97"/>
      <c r="AR97"/>
      <c r="AS97"/>
      <c r="AT97"/>
    </row>
    <row r="98" spans="42:46" x14ac:dyDescent="0.2">
      <c r="AP98"/>
      <c r="AQ98"/>
      <c r="AR98"/>
      <c r="AS98"/>
      <c r="AT98"/>
    </row>
    <row r="99" spans="42:46" x14ac:dyDescent="0.2">
      <c r="AP99"/>
      <c r="AQ99"/>
      <c r="AR99"/>
      <c r="AS99"/>
      <c r="AT99"/>
    </row>
    <row r="100" spans="42:46" x14ac:dyDescent="0.2">
      <c r="AP100"/>
      <c r="AQ100"/>
      <c r="AR100"/>
      <c r="AS100"/>
      <c r="AT100"/>
    </row>
    <row r="101" spans="42:46" x14ac:dyDescent="0.2">
      <c r="AP101"/>
      <c r="AQ101"/>
      <c r="AR101"/>
      <c r="AS101"/>
      <c r="AT101"/>
    </row>
    <row r="102" spans="42:46" x14ac:dyDescent="0.2">
      <c r="AP102"/>
      <c r="AQ102"/>
      <c r="AR102"/>
      <c r="AS102"/>
      <c r="AT102"/>
    </row>
    <row r="103" spans="42:46" x14ac:dyDescent="0.2">
      <c r="AP103"/>
      <c r="AQ103"/>
      <c r="AR103"/>
      <c r="AS103"/>
      <c r="AT103"/>
    </row>
    <row r="104" spans="42:46" x14ac:dyDescent="0.2">
      <c r="AP104"/>
      <c r="AQ104"/>
      <c r="AR104"/>
      <c r="AS104"/>
      <c r="AT104"/>
    </row>
    <row r="105" spans="42:46" x14ac:dyDescent="0.2">
      <c r="AP105"/>
      <c r="AQ105"/>
      <c r="AR105"/>
      <c r="AS105"/>
      <c r="AT105"/>
    </row>
    <row r="106" spans="42:46" x14ac:dyDescent="0.2">
      <c r="AP106"/>
      <c r="AQ106"/>
      <c r="AR106"/>
      <c r="AS106"/>
      <c r="AT106"/>
    </row>
    <row r="107" spans="42:46" x14ac:dyDescent="0.2">
      <c r="AP107"/>
      <c r="AQ107"/>
      <c r="AR107"/>
      <c r="AS107"/>
      <c r="AT107"/>
    </row>
    <row r="108" spans="42:46" x14ac:dyDescent="0.2">
      <c r="AP108"/>
      <c r="AQ108"/>
      <c r="AR108"/>
      <c r="AS108"/>
      <c r="AT108"/>
    </row>
    <row r="109" spans="42:46" x14ac:dyDescent="0.2">
      <c r="AP109"/>
      <c r="AQ109"/>
      <c r="AR109"/>
      <c r="AS109"/>
      <c r="AT109"/>
    </row>
    <row r="110" spans="42:46" x14ac:dyDescent="0.2">
      <c r="AP110"/>
      <c r="AQ110"/>
      <c r="AR110"/>
      <c r="AS110"/>
      <c r="AT110"/>
    </row>
    <row r="111" spans="42:46" x14ac:dyDescent="0.2">
      <c r="AP111"/>
      <c r="AQ111"/>
      <c r="AR111"/>
      <c r="AS111"/>
      <c r="AT111"/>
    </row>
    <row r="112" spans="42:46" x14ac:dyDescent="0.2">
      <c r="AP112"/>
      <c r="AQ112"/>
      <c r="AR112"/>
      <c r="AS112"/>
      <c r="AT112"/>
    </row>
    <row r="113" spans="40:46" x14ac:dyDescent="0.2">
      <c r="AP113"/>
      <c r="AQ113"/>
      <c r="AR113"/>
      <c r="AS113"/>
      <c r="AT113"/>
    </row>
    <row r="114" spans="40:46" x14ac:dyDescent="0.2">
      <c r="AN114"/>
      <c r="AO114"/>
      <c r="AP114"/>
      <c r="AQ114"/>
      <c r="AR114"/>
      <c r="AS114"/>
      <c r="AT114"/>
    </row>
    <row r="115" spans="40:46" x14ac:dyDescent="0.2">
      <c r="AN115"/>
      <c r="AO115"/>
      <c r="AP115"/>
      <c r="AQ115"/>
      <c r="AR115"/>
      <c r="AS115"/>
      <c r="AT115"/>
    </row>
    <row r="116" spans="40:46" x14ac:dyDescent="0.2">
      <c r="AN116"/>
      <c r="AO116"/>
      <c r="AP116"/>
      <c r="AQ116"/>
      <c r="AR116"/>
      <c r="AS116"/>
      <c r="AT116"/>
    </row>
    <row r="117" spans="40:46" x14ac:dyDescent="0.2">
      <c r="AN117"/>
      <c r="AO117"/>
      <c r="AP117"/>
      <c r="AQ117"/>
      <c r="AR117"/>
      <c r="AS117"/>
      <c r="AT117"/>
    </row>
    <row r="118" spans="40:46" x14ac:dyDescent="0.2">
      <c r="AN118"/>
      <c r="AO118"/>
      <c r="AP118"/>
      <c r="AQ118"/>
      <c r="AR118"/>
      <c r="AS118"/>
      <c r="AT118"/>
    </row>
    <row r="119" spans="40:46" x14ac:dyDescent="0.2">
      <c r="AN119"/>
      <c r="AO119"/>
      <c r="AP119"/>
      <c r="AQ119"/>
      <c r="AR119"/>
      <c r="AS119"/>
      <c r="AT119"/>
    </row>
    <row r="120" spans="40:46" x14ac:dyDescent="0.2">
      <c r="AN120"/>
      <c r="AO120"/>
      <c r="AP120"/>
      <c r="AQ120"/>
      <c r="AR120"/>
      <c r="AS120"/>
      <c r="AT120"/>
    </row>
    <row r="121" spans="40:46" x14ac:dyDescent="0.2">
      <c r="AN121"/>
      <c r="AO121"/>
      <c r="AP121"/>
      <c r="AQ121"/>
      <c r="AR121"/>
      <c r="AS121"/>
      <c r="AT121"/>
    </row>
    <row r="122" spans="40:46" x14ac:dyDescent="0.2">
      <c r="AN122"/>
      <c r="AO122"/>
      <c r="AP122"/>
      <c r="AQ122"/>
      <c r="AR122"/>
      <c r="AS122"/>
      <c r="AT122"/>
    </row>
    <row r="123" spans="40:46" x14ac:dyDescent="0.2">
      <c r="AN123"/>
      <c r="AO123"/>
      <c r="AP123"/>
      <c r="AQ123"/>
      <c r="AR123"/>
      <c r="AS123"/>
      <c r="AT123"/>
    </row>
    <row r="124" spans="40:46" x14ac:dyDescent="0.2">
      <c r="AN124"/>
      <c r="AO124"/>
      <c r="AP124"/>
      <c r="AQ124"/>
      <c r="AR124"/>
      <c r="AS124"/>
      <c r="AT124"/>
    </row>
    <row r="125" spans="40:46" x14ac:dyDescent="0.2">
      <c r="AN125"/>
      <c r="AO125"/>
      <c r="AP125"/>
      <c r="AQ125"/>
      <c r="AR125"/>
      <c r="AS125"/>
      <c r="AT125"/>
    </row>
    <row r="126" spans="40:46" x14ac:dyDescent="0.2">
      <c r="AS126"/>
      <c r="AT126"/>
    </row>
  </sheetData>
  <sortState xmlns:xlrd2="http://schemas.microsoft.com/office/spreadsheetml/2017/richdata2" ref="A75:C125">
    <sortCondition ref="B75:B125"/>
  </sortState>
  <mergeCells count="9">
    <mergeCell ref="I4:I5"/>
    <mergeCell ref="J4:J5"/>
    <mergeCell ref="K4:K5"/>
    <mergeCell ref="H2:I2"/>
    <mergeCell ref="G4:G5"/>
    <mergeCell ref="E3:F3"/>
    <mergeCell ref="E4:E5"/>
    <mergeCell ref="F4:F5"/>
    <mergeCell ref="H4:H5"/>
  </mergeCells>
  <conditionalFormatting sqref="A6:D56">
    <cfRule type="expression" dxfId="1" priority="1">
      <formula xml:space="preserve"> #REF! &lt;= -2</formula>
    </cfRule>
  </conditionalFormatting>
  <conditionalFormatting sqref="J18:K18 J35:K35 J41:K41">
    <cfRule type="expression" dxfId="0" priority="33">
      <formula xml:space="preserve"> #REF! &lt;= -2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011F-EF53-4C19-BAB0-E245A558CACE}">
  <dimension ref="A1:T54"/>
  <sheetViews>
    <sheetView workbookViewId="0">
      <selection activeCell="F1" sqref="F1"/>
    </sheetView>
  </sheetViews>
  <sheetFormatPr defaultRowHeight="12.75" x14ac:dyDescent="0.2"/>
  <cols>
    <col min="1" max="1" width="5.28515625" customWidth="1"/>
    <col min="3" max="3" width="24.28515625" customWidth="1"/>
    <col min="4" max="4" width="8.140625" customWidth="1"/>
    <col min="5" max="5" width="28.7109375" customWidth="1"/>
    <col min="6" max="8" width="7" customWidth="1"/>
    <col min="9" max="9" width="8.140625" customWidth="1"/>
    <col min="10" max="10" width="7" customWidth="1"/>
    <col min="12" max="12" width="4.42578125" customWidth="1"/>
    <col min="17" max="17" width="2.7109375" customWidth="1"/>
  </cols>
  <sheetData>
    <row r="1" spans="1:20" x14ac:dyDescent="0.2">
      <c r="F1" s="19" t="s">
        <v>132</v>
      </c>
      <c r="G1" s="19" t="s">
        <v>133</v>
      </c>
      <c r="H1" s="19" t="s">
        <v>134</v>
      </c>
      <c r="I1" s="19" t="s">
        <v>135</v>
      </c>
      <c r="J1" s="21" t="s">
        <v>136</v>
      </c>
    </row>
    <row r="2" spans="1:20" ht="12.75" customHeight="1" x14ac:dyDescent="0.2">
      <c r="F2" s="19"/>
      <c r="G2" s="19"/>
      <c r="H2" s="19"/>
      <c r="I2" s="19"/>
      <c r="J2" s="21"/>
      <c r="O2" s="24" t="s">
        <v>164</v>
      </c>
      <c r="P2" s="24"/>
    </row>
    <row r="3" spans="1:20" ht="12.75" customHeight="1" x14ac:dyDescent="0.2">
      <c r="A3">
        <v>1</v>
      </c>
      <c r="B3" s="3">
        <f>'Raw Analysis'!A13</f>
        <v>694264</v>
      </c>
      <c r="C3" t="str">
        <f>'Raw Analysis'!B13</f>
        <v>Andrade, Antonio</v>
      </c>
      <c r="D3" s="3">
        <f>'Raw Analysis'!C13</f>
        <v>43957</v>
      </c>
      <c r="E3" t="str">
        <f>'Raw Analysis'!D13</f>
        <v>AAndrade26@MY.SCCCD.EDU</v>
      </c>
      <c r="F3" s="3">
        <f>'Raw Analysis'!E13</f>
        <v>21</v>
      </c>
      <c r="G3" s="3">
        <f>'Raw Analysis'!F13</f>
        <v>10</v>
      </c>
      <c r="H3" s="3">
        <f>'Raw Analysis'!G13</f>
        <v>73</v>
      </c>
      <c r="I3" s="18">
        <f>'Raw Analysis'!H13</f>
        <v>85.882352941176464</v>
      </c>
      <c r="J3" s="11">
        <f>'Raw Analysis'!I13</f>
        <v>1.429010369325951</v>
      </c>
      <c r="N3" s="3" t="s">
        <v>157</v>
      </c>
      <c r="O3" s="6" t="s">
        <v>4</v>
      </c>
      <c r="P3" s="6" t="s">
        <v>5</v>
      </c>
      <c r="Q3" s="3"/>
      <c r="R3" s="3" t="s">
        <v>4</v>
      </c>
      <c r="S3" s="3" t="s">
        <v>5</v>
      </c>
    </row>
    <row r="4" spans="1:20" x14ac:dyDescent="0.2">
      <c r="A4">
        <v>2</v>
      </c>
      <c r="B4" s="3">
        <f>'Raw Analysis'!A23</f>
        <v>873290</v>
      </c>
      <c r="C4" t="str">
        <f>'Raw Analysis'!B23</f>
        <v>Aquino, Hailey</v>
      </c>
      <c r="D4" s="3">
        <f>'Raw Analysis'!C23</f>
        <v>43957</v>
      </c>
      <c r="E4" t="str">
        <f>'Raw Analysis'!D23</f>
        <v>HJAquino1@MY.SCCCD.EDU</v>
      </c>
      <c r="F4" s="3">
        <f>'Raw Analysis'!E23</f>
        <v>24</v>
      </c>
      <c r="G4" s="3">
        <f>'Raw Analysis'!F23</f>
        <v>10</v>
      </c>
      <c r="H4" s="3">
        <f>'Raw Analysis'!G23</f>
        <v>82</v>
      </c>
      <c r="I4" s="18">
        <f>'Raw Analysis'!H23</f>
        <v>96.470588235294116</v>
      </c>
      <c r="J4" s="11">
        <f>'Raw Analysis'!I23</f>
        <v>1.9765193505618543</v>
      </c>
      <c r="N4" s="3"/>
      <c r="O4" s="6"/>
      <c r="P4" s="6"/>
      <c r="Q4" s="3"/>
      <c r="R4" s="3"/>
      <c r="S4" s="3"/>
    </row>
    <row r="5" spans="1:20" x14ac:dyDescent="0.2">
      <c r="A5">
        <v>3</v>
      </c>
      <c r="B5" s="3">
        <f>'Raw Analysis'!A40</f>
        <v>1016534</v>
      </c>
      <c r="C5" t="str">
        <f>'Raw Analysis'!B40</f>
        <v>Arellano Cruz, Ashley</v>
      </c>
      <c r="D5" s="3">
        <f>'Raw Analysis'!C40</f>
        <v>43958</v>
      </c>
      <c r="E5" t="str">
        <f>'Raw Analysis'!D40</f>
        <v>AMArellanoCruz1@MY.SCCCD.EDU</v>
      </c>
      <c r="F5" s="3">
        <f>'Raw Analysis'!E40</f>
        <v>6</v>
      </c>
      <c r="G5" s="3">
        <f>'Raw Analysis'!F40</f>
        <v>6</v>
      </c>
      <c r="H5" s="3">
        <f>'Raw Analysis'!G40</f>
        <v>24</v>
      </c>
      <c r="I5" s="18">
        <f>'Raw Analysis'!H40</f>
        <v>28.235294117647058</v>
      </c>
      <c r="J5" s="11">
        <f>'Raw Analysis'!I40</f>
        <v>-1.5518718618472986</v>
      </c>
      <c r="N5" s="3">
        <v>1</v>
      </c>
      <c r="O5" s="6" t="s">
        <v>4</v>
      </c>
      <c r="P5" s="6" t="s">
        <v>5</v>
      </c>
      <c r="Q5" s="3"/>
      <c r="R5" s="6" t="s">
        <v>4</v>
      </c>
      <c r="S5" s="6" t="s">
        <v>5</v>
      </c>
    </row>
    <row r="6" spans="1:20" x14ac:dyDescent="0.2">
      <c r="A6">
        <v>4</v>
      </c>
      <c r="B6" s="3">
        <f>'Raw Analysis'!A56</f>
        <v>1070102</v>
      </c>
      <c r="C6" t="str">
        <f>'Raw Analysis'!B56</f>
        <v>Becerril, Destiny</v>
      </c>
      <c r="D6" s="3">
        <f>'Raw Analysis'!C56</f>
        <v>43958</v>
      </c>
      <c r="E6" t="str">
        <f>'Raw Analysis'!D56</f>
        <v>DVBecerril1@MY.SCCCD.EDU</v>
      </c>
      <c r="F6" s="3">
        <f>'Raw Analysis'!E56</f>
        <v>11</v>
      </c>
      <c r="G6" s="3">
        <f>'Raw Analysis'!F56</f>
        <v>7</v>
      </c>
      <c r="H6" s="3">
        <f>'Raw Analysis'!G56</f>
        <v>40</v>
      </c>
      <c r="I6" s="18">
        <f>'Raw Analysis'!H56</f>
        <v>47.058823529411768</v>
      </c>
      <c r="J6" s="11">
        <f>'Raw Analysis'!I56</f>
        <v>-0.57852256187235973</v>
      </c>
      <c r="N6" s="3">
        <v>2</v>
      </c>
      <c r="O6" s="6" t="s">
        <v>7</v>
      </c>
      <c r="P6" s="6" t="s">
        <v>4</v>
      </c>
      <c r="Q6" s="3"/>
      <c r="R6" s="6" t="s">
        <v>7</v>
      </c>
      <c r="S6" s="6" t="s">
        <v>4</v>
      </c>
    </row>
    <row r="7" spans="1:20" x14ac:dyDescent="0.2">
      <c r="A7">
        <v>5</v>
      </c>
      <c r="B7" s="3">
        <f>'Raw Analysis'!A48</f>
        <v>1065569</v>
      </c>
      <c r="C7" t="str">
        <f>'Raw Analysis'!B48</f>
        <v>Bryant, Tajanique</v>
      </c>
      <c r="D7" s="3">
        <f>'Raw Analysis'!C48</f>
        <v>43958</v>
      </c>
      <c r="E7" t="str">
        <f>'Raw Analysis'!D48</f>
        <v>TMBryant1@MY.SCCCD.EDU</v>
      </c>
      <c r="F7" s="3">
        <f>'Raw Analysis'!E48</f>
        <v>14</v>
      </c>
      <c r="G7" s="3">
        <f>'Raw Analysis'!F48</f>
        <v>8</v>
      </c>
      <c r="H7" s="3">
        <f>'Raw Analysis'!G48</f>
        <v>50</v>
      </c>
      <c r="I7" s="18">
        <f>'Raw Analysis'!H48</f>
        <v>58.823529411764703</v>
      </c>
      <c r="J7" s="11">
        <f>'Raw Analysis'!I48</f>
        <v>2.9820750611976754E-2</v>
      </c>
      <c r="N7" s="3">
        <v>3</v>
      </c>
      <c r="O7" s="6" t="s">
        <v>6</v>
      </c>
      <c r="P7" s="6" t="s">
        <v>7</v>
      </c>
      <c r="Q7" s="3"/>
      <c r="R7" s="6" t="s">
        <v>6</v>
      </c>
      <c r="S7" s="6" t="s">
        <v>7</v>
      </c>
    </row>
    <row r="8" spans="1:20" x14ac:dyDescent="0.2">
      <c r="A8">
        <v>6</v>
      </c>
      <c r="B8" s="3">
        <f>'Raw Analysis'!A16</f>
        <v>759215</v>
      </c>
      <c r="C8" t="str">
        <f>'Raw Analysis'!B16</f>
        <v>Castro, Socorro</v>
      </c>
      <c r="D8" s="3">
        <f>'Raw Analysis'!C16</f>
        <v>43958</v>
      </c>
      <c r="E8" t="str">
        <f>'Raw Analysis'!D16</f>
        <v>SCastro42@MY.SCCCD.EDU</v>
      </c>
      <c r="F8" s="3">
        <f>'Raw Analysis'!E16</f>
        <v>22</v>
      </c>
      <c r="G8" s="3">
        <f>'Raw Analysis'!F16</f>
        <v>10</v>
      </c>
      <c r="H8" s="3">
        <f>'Raw Analysis'!G16</f>
        <v>76</v>
      </c>
      <c r="I8" s="18">
        <f>'Raw Analysis'!H16</f>
        <v>89.411764705882348</v>
      </c>
      <c r="J8" s="11">
        <f>'Raw Analysis'!I16</f>
        <v>1.6115133630712521</v>
      </c>
      <c r="N8" s="3">
        <v>4</v>
      </c>
      <c r="O8" s="6" t="s">
        <v>5</v>
      </c>
      <c r="P8" s="6" t="s">
        <v>5</v>
      </c>
      <c r="Q8" s="3"/>
      <c r="R8" s="6" t="s">
        <v>5</v>
      </c>
      <c r="S8" s="6" t="s">
        <v>5</v>
      </c>
      <c r="T8" s="6" t="s">
        <v>163</v>
      </c>
    </row>
    <row r="9" spans="1:20" x14ac:dyDescent="0.2">
      <c r="A9">
        <v>7</v>
      </c>
      <c r="B9" s="3">
        <f>'Raw Analysis'!A11</f>
        <v>576373</v>
      </c>
      <c r="C9" t="str">
        <f>'Raw Analysis'!B11</f>
        <v>Ceballos, Ariel</v>
      </c>
      <c r="D9" s="3">
        <f>'Raw Analysis'!C11</f>
        <v>43957</v>
      </c>
      <c r="E9" t="str">
        <f>'Raw Analysis'!D11</f>
        <v>AMCeballos1@MY.SCCCD.EDU</v>
      </c>
      <c r="F9" s="3">
        <f>'Raw Analysis'!E11</f>
        <v>15</v>
      </c>
      <c r="G9" s="3">
        <f>'Raw Analysis'!F11</f>
        <v>8</v>
      </c>
      <c r="H9" s="3">
        <f>'Raw Analysis'!G11</f>
        <v>53</v>
      </c>
      <c r="I9" s="18">
        <f>'Raw Analysis'!H11</f>
        <v>62.352941176470587</v>
      </c>
      <c r="J9" s="11">
        <f>'Raw Analysis'!I11</f>
        <v>0.21232374435727785</v>
      </c>
      <c r="N9" s="3">
        <v>5</v>
      </c>
      <c r="O9" s="6" t="s">
        <v>5</v>
      </c>
      <c r="P9" s="6" t="s">
        <v>6</v>
      </c>
      <c r="Q9" s="3"/>
      <c r="R9" s="6" t="s">
        <v>5</v>
      </c>
      <c r="S9" s="6" t="s">
        <v>6</v>
      </c>
    </row>
    <row r="10" spans="1:20" x14ac:dyDescent="0.2">
      <c r="A10">
        <v>8</v>
      </c>
      <c r="B10" s="3">
        <f>'Raw Analysis'!A36</f>
        <v>994114</v>
      </c>
      <c r="C10" t="str">
        <f>'Raw Analysis'!B36</f>
        <v>Corea, Kristie</v>
      </c>
      <c r="D10" s="3">
        <f>'Raw Analysis'!C36</f>
        <v>43957</v>
      </c>
      <c r="E10" t="str">
        <f>'Raw Analysis'!D36</f>
        <v>KNCorea1@MY.SCCCD.EDU</v>
      </c>
      <c r="F10" s="3">
        <f>'Raw Analysis'!E36</f>
        <v>14</v>
      </c>
      <c r="G10" s="3">
        <f>'Raw Analysis'!F36</f>
        <v>7</v>
      </c>
      <c r="H10" s="3">
        <f>'Raw Analysis'!G36</f>
        <v>49</v>
      </c>
      <c r="I10" s="18">
        <f>'Raw Analysis'!H36</f>
        <v>57.647058823529413</v>
      </c>
      <c r="J10" s="11">
        <f>'Raw Analysis'!I36</f>
        <v>-3.1013580636456706E-2</v>
      </c>
      <c r="N10" s="3">
        <v>6</v>
      </c>
      <c r="O10" s="6" t="s">
        <v>5</v>
      </c>
      <c r="P10" s="6" t="s">
        <v>5</v>
      </c>
      <c r="Q10" s="3"/>
      <c r="R10" s="6" t="s">
        <v>5</v>
      </c>
      <c r="S10" s="6" t="s">
        <v>5</v>
      </c>
    </row>
    <row r="11" spans="1:20" x14ac:dyDescent="0.2">
      <c r="A11">
        <v>9</v>
      </c>
      <c r="B11" s="3">
        <f>'Raw Analysis'!A41</f>
        <v>1024952</v>
      </c>
      <c r="C11" t="str">
        <f>'Raw Analysis'!B41</f>
        <v>Cuevas Romero, Ana</v>
      </c>
      <c r="D11" s="3">
        <f>'Raw Analysis'!C41</f>
        <v>43957</v>
      </c>
      <c r="E11" t="str">
        <f>'Raw Analysis'!D41</f>
        <v>ADCuevasRomero1@MY.SCCCD.EDU</v>
      </c>
      <c r="F11" s="3">
        <f>'Raw Analysis'!E41</f>
        <v>18</v>
      </c>
      <c r="G11" s="3">
        <f>'Raw Analysis'!F41</f>
        <v>10</v>
      </c>
      <c r="H11" s="3">
        <f>'Raw Analysis'!G41</f>
        <v>64</v>
      </c>
      <c r="I11" s="18">
        <f>'Raw Analysis'!H41</f>
        <v>75.294117647058826</v>
      </c>
      <c r="J11" s="11">
        <f>'Raw Analysis'!I41</f>
        <v>0.88150138809004852</v>
      </c>
      <c r="N11" s="3">
        <v>7</v>
      </c>
      <c r="O11" s="6" t="s">
        <v>7</v>
      </c>
      <c r="P11" s="6" t="s">
        <v>7</v>
      </c>
      <c r="Q11" s="3"/>
      <c r="R11" s="6" t="s">
        <v>7</v>
      </c>
      <c r="S11" s="6" t="s">
        <v>7</v>
      </c>
    </row>
    <row r="12" spans="1:20" x14ac:dyDescent="0.2">
      <c r="A12">
        <v>10</v>
      </c>
      <c r="B12" s="3">
        <f>'Raw Analysis'!A24</f>
        <v>888543</v>
      </c>
      <c r="C12" t="str">
        <f>'Raw Analysis'!B24</f>
        <v>Esparza, Beatrice</v>
      </c>
      <c r="D12" s="3">
        <f>'Raw Analysis'!C24</f>
        <v>43957</v>
      </c>
      <c r="E12" t="str">
        <f>'Raw Analysis'!D24</f>
        <v>BMEsparza1@MY.SCCCD.EDU</v>
      </c>
      <c r="F12" s="3">
        <f>'Raw Analysis'!E24</f>
        <v>20</v>
      </c>
      <c r="G12" s="3">
        <f>'Raw Analysis'!F24</f>
        <v>10</v>
      </c>
      <c r="H12" s="3">
        <f>'Raw Analysis'!G24</f>
        <v>70</v>
      </c>
      <c r="I12" s="18">
        <f>'Raw Analysis'!H24</f>
        <v>82.352941176470594</v>
      </c>
      <c r="J12" s="11">
        <f>'Raw Analysis'!I24</f>
        <v>1.2465073755806506</v>
      </c>
      <c r="N12" s="3">
        <v>8</v>
      </c>
      <c r="O12" s="6" t="s">
        <v>6</v>
      </c>
      <c r="P12" s="6" t="s">
        <v>6</v>
      </c>
      <c r="Q12" s="3"/>
      <c r="R12" s="6" t="s">
        <v>6</v>
      </c>
      <c r="S12" s="6" t="s">
        <v>6</v>
      </c>
    </row>
    <row r="13" spans="1:20" ht="15" x14ac:dyDescent="0.25">
      <c r="A13">
        <v>11</v>
      </c>
      <c r="B13" s="3">
        <f>'Raw Analysis'!A14</f>
        <v>737921</v>
      </c>
      <c r="C13" t="str">
        <f>'Raw Analysis'!B14</f>
        <v>Fang, Pa</v>
      </c>
      <c r="D13" s="3">
        <f>'Raw Analysis'!C14</f>
        <v>43957</v>
      </c>
      <c r="E13" t="str">
        <f>'Raw Analysis'!D14</f>
        <v>PHFang1@MY.SCCCD.EDU</v>
      </c>
      <c r="F13" s="3">
        <f>'Raw Analysis'!E14</f>
        <v>6</v>
      </c>
      <c r="G13" s="3">
        <f>'Raw Analysis'!F14</f>
        <v>5</v>
      </c>
      <c r="H13" s="3">
        <f>'Raw Analysis'!G14</f>
        <v>23</v>
      </c>
      <c r="I13" s="18">
        <f>'Raw Analysis'!H14</f>
        <v>27.058823529411764</v>
      </c>
      <c r="J13" s="11">
        <f>'Raw Analysis'!I14</f>
        <v>-1.6127061930957323</v>
      </c>
      <c r="N13" s="3">
        <v>9</v>
      </c>
      <c r="O13" s="17" t="s">
        <v>6</v>
      </c>
      <c r="P13" s="17" t="s">
        <v>6</v>
      </c>
      <c r="Q13" s="17"/>
      <c r="R13" s="17" t="s">
        <v>5</v>
      </c>
      <c r="S13" s="17" t="s">
        <v>5</v>
      </c>
    </row>
    <row r="14" spans="1:20" x14ac:dyDescent="0.2">
      <c r="A14">
        <v>12</v>
      </c>
      <c r="B14" s="3">
        <f>'Raw Analysis'!A44</f>
        <v>1039936</v>
      </c>
      <c r="C14" t="str">
        <f>'Raw Analysis'!B44</f>
        <v>Gamez, Sergio</v>
      </c>
      <c r="D14" s="3">
        <f>'Raw Analysis'!C44</f>
        <v>43957</v>
      </c>
      <c r="E14" t="str">
        <f>'Raw Analysis'!D44</f>
        <v>SRGamez1@MY.SCCCD.EDU</v>
      </c>
      <c r="F14" s="3">
        <f>'Raw Analysis'!E44</f>
        <v>12</v>
      </c>
      <c r="G14" s="3">
        <f>'Raw Analysis'!F44</f>
        <v>9</v>
      </c>
      <c r="H14" s="3">
        <f>'Raw Analysis'!G44</f>
        <v>45</v>
      </c>
      <c r="I14" s="18">
        <f>'Raw Analysis'!H44</f>
        <v>52.941176470588232</v>
      </c>
      <c r="J14" s="11">
        <f>'Raw Analysis'!I44</f>
        <v>-0.27435090563019165</v>
      </c>
      <c r="N14" s="3">
        <v>10</v>
      </c>
      <c r="O14" s="6" t="s">
        <v>4</v>
      </c>
      <c r="P14" s="6" t="s">
        <v>4</v>
      </c>
      <c r="Q14" s="3"/>
      <c r="R14" s="6" t="s">
        <v>4</v>
      </c>
      <c r="S14" s="6" t="s">
        <v>4</v>
      </c>
    </row>
    <row r="15" spans="1:20" x14ac:dyDescent="0.2">
      <c r="A15">
        <v>13</v>
      </c>
      <c r="B15" s="3">
        <f>'Raw Analysis'!A18</f>
        <v>790131</v>
      </c>
      <c r="C15" t="str">
        <f>'Raw Analysis'!B18</f>
        <v>Garcia, Andres</v>
      </c>
      <c r="D15" s="3">
        <f>'Raw Analysis'!C18</f>
        <v>43957</v>
      </c>
      <c r="E15" t="str">
        <f>'Raw Analysis'!D18</f>
        <v>AGarcia679@MY.SCCCD.EDU</v>
      </c>
      <c r="F15" s="3">
        <f>'Raw Analysis'!E18</f>
        <v>16</v>
      </c>
      <c r="G15" s="3">
        <f>'Raw Analysis'!F18</f>
        <v>8</v>
      </c>
      <c r="H15" s="3">
        <f>'Raw Analysis'!G18</f>
        <v>56</v>
      </c>
      <c r="I15" s="18">
        <f>'Raw Analysis'!H18</f>
        <v>65.882352941176464</v>
      </c>
      <c r="J15" s="11">
        <f>'Raw Analysis'!I18</f>
        <v>0.39482673810257862</v>
      </c>
      <c r="N15" s="3">
        <v>11</v>
      </c>
      <c r="O15" s="6" t="s">
        <v>7</v>
      </c>
      <c r="P15" s="6" t="s">
        <v>4</v>
      </c>
      <c r="Q15" s="3"/>
      <c r="R15" s="6" t="s">
        <v>7</v>
      </c>
      <c r="S15" s="6" t="s">
        <v>4</v>
      </c>
    </row>
    <row r="16" spans="1:20" x14ac:dyDescent="0.2">
      <c r="A16">
        <v>14</v>
      </c>
      <c r="B16" s="3">
        <f>'Raw Analysis'!A52</f>
        <v>778750</v>
      </c>
      <c r="C16" t="str">
        <f>'Raw Analysis'!B52</f>
        <v>Garcia, Jovanna</v>
      </c>
      <c r="D16" s="3">
        <f>'Raw Analysis'!C52</f>
        <v>43958</v>
      </c>
      <c r="E16" t="str">
        <f>'Raw Analysis'!D52</f>
        <v>JAGarcia38@MY.SCCCD.EDU</v>
      </c>
      <c r="F16" s="3">
        <f>'Raw Analysis'!E52</f>
        <v>22</v>
      </c>
      <c r="G16" s="3">
        <f>'Raw Analysis'!F52</f>
        <v>10</v>
      </c>
      <c r="H16" s="3">
        <f>'Raw Analysis'!G52</f>
        <v>76</v>
      </c>
      <c r="I16" s="18">
        <f>'Raw Analysis'!H52</f>
        <v>89.411764705882348</v>
      </c>
      <c r="J16" s="11">
        <f>'Raw Analysis'!I52</f>
        <v>1.6115133630712521</v>
      </c>
      <c r="N16" s="3">
        <v>12</v>
      </c>
      <c r="O16" s="6" t="s">
        <v>5</v>
      </c>
      <c r="P16" s="6" t="s">
        <v>7</v>
      </c>
      <c r="Q16" s="3"/>
      <c r="R16" s="6" t="s">
        <v>5</v>
      </c>
      <c r="S16" s="6" t="s">
        <v>7</v>
      </c>
    </row>
    <row r="17" spans="1:19" x14ac:dyDescent="0.2">
      <c r="A17">
        <v>15</v>
      </c>
      <c r="B17" s="3">
        <f>'Raw Analysis'!A7</f>
        <v>490011</v>
      </c>
      <c r="C17" t="str">
        <f>'Raw Analysis'!B7</f>
        <v>Garcia, Sabrina</v>
      </c>
      <c r="D17" s="3">
        <f>'Raw Analysis'!C7</f>
        <v>43957</v>
      </c>
      <c r="E17" t="str">
        <f>'Raw Analysis'!D7</f>
        <v>SRGarcia4@MY.SCCCD.EDU</v>
      </c>
      <c r="F17" s="3">
        <f>'Raw Analysis'!E7</f>
        <v>10</v>
      </c>
      <c r="G17" s="3">
        <f>'Raw Analysis'!F7</f>
        <v>3</v>
      </c>
      <c r="H17" s="3">
        <f>'Raw Analysis'!G7</f>
        <v>33</v>
      </c>
      <c r="I17" s="18">
        <f>'Raw Analysis'!H7</f>
        <v>38.823529411764703</v>
      </c>
      <c r="J17" s="11">
        <f>'Raw Analysis'!I7</f>
        <v>-1.0043628806113958</v>
      </c>
      <c r="N17" s="3">
        <v>13</v>
      </c>
      <c r="O17" s="6" t="s">
        <v>6</v>
      </c>
      <c r="P17" s="6" t="s">
        <v>6</v>
      </c>
      <c r="Q17" s="3"/>
      <c r="R17" s="6" t="s">
        <v>6</v>
      </c>
      <c r="S17" s="6" t="s">
        <v>6</v>
      </c>
    </row>
    <row r="18" spans="1:19" x14ac:dyDescent="0.2">
      <c r="A18">
        <v>16</v>
      </c>
      <c r="B18" s="3">
        <f>'Raw Analysis'!A47</f>
        <v>1063699</v>
      </c>
      <c r="C18" t="str">
        <f>'Raw Analysis'!B47</f>
        <v>Garcia-Hernandez, Allison</v>
      </c>
      <c r="D18" s="3">
        <f>'Raw Analysis'!C47</f>
        <v>43958</v>
      </c>
      <c r="E18" t="str">
        <f>'Raw Analysis'!D47</f>
        <v>AGGarciaHernandez2@MY.SCCCD.EDU</v>
      </c>
      <c r="F18" s="3">
        <f>'Raw Analysis'!E47</f>
        <v>12</v>
      </c>
      <c r="G18" s="3">
        <f>'Raw Analysis'!F47</f>
        <v>7</v>
      </c>
      <c r="H18" s="3">
        <f>'Raw Analysis'!G47</f>
        <v>43</v>
      </c>
      <c r="I18" s="18">
        <f>'Raw Analysis'!H47</f>
        <v>50.588235294117645</v>
      </c>
      <c r="J18" s="11">
        <f>'Raw Analysis'!I47</f>
        <v>-0.39601956812705891</v>
      </c>
      <c r="N18" s="3">
        <v>14</v>
      </c>
      <c r="O18" s="6" t="s">
        <v>5</v>
      </c>
      <c r="P18" s="6" t="s">
        <v>5</v>
      </c>
      <c r="Q18" s="3"/>
      <c r="R18" s="6" t="s">
        <v>5</v>
      </c>
      <c r="S18" s="6" t="s">
        <v>5</v>
      </c>
    </row>
    <row r="19" spans="1:19" x14ac:dyDescent="0.2">
      <c r="A19">
        <v>17</v>
      </c>
      <c r="B19" s="3">
        <f>'Raw Analysis'!A50</f>
        <v>928878</v>
      </c>
      <c r="C19" t="str">
        <f>'Raw Analysis'!B50</f>
        <v>Her, Kangbao</v>
      </c>
      <c r="D19" s="3">
        <f>'Raw Analysis'!C50</f>
        <v>43958</v>
      </c>
      <c r="E19" t="str">
        <f>'Raw Analysis'!D50</f>
        <v>KHer133@MY.SCCCD.EDU</v>
      </c>
      <c r="F19" s="3">
        <f>'Raw Analysis'!E50</f>
        <v>15</v>
      </c>
      <c r="G19" s="3">
        <f>'Raw Analysis'!F50</f>
        <v>9</v>
      </c>
      <c r="H19" s="3">
        <f>'Raw Analysis'!G50</f>
        <v>54</v>
      </c>
      <c r="I19" s="18">
        <f>'Raw Analysis'!H50</f>
        <v>63.529411764705884</v>
      </c>
      <c r="J19" s="11">
        <f>'Raw Analysis'!I50</f>
        <v>0.2731580756057117</v>
      </c>
      <c r="N19" s="3">
        <v>15</v>
      </c>
      <c r="O19" s="6" t="s">
        <v>5</v>
      </c>
      <c r="P19" s="6" t="s">
        <v>5</v>
      </c>
      <c r="Q19" s="3"/>
      <c r="R19" s="6" t="s">
        <v>5</v>
      </c>
      <c r="S19" s="6" t="s">
        <v>5</v>
      </c>
    </row>
    <row r="20" spans="1:19" x14ac:dyDescent="0.2">
      <c r="A20">
        <v>18</v>
      </c>
      <c r="B20" s="3">
        <f>'Raw Analysis'!A22</f>
        <v>871988</v>
      </c>
      <c r="C20" t="str">
        <f>'Raw Analysis'!B22</f>
        <v>Hernan, Jazmine</v>
      </c>
      <c r="D20" s="3">
        <f>'Raw Analysis'!C22</f>
        <v>43957</v>
      </c>
      <c r="E20" t="str">
        <f>'Raw Analysis'!D22</f>
        <v>JHHernan1@MY.SCCCD.EDU</v>
      </c>
      <c r="F20" s="3">
        <f>'Raw Analysis'!E22</f>
        <v>11</v>
      </c>
      <c r="G20" s="3">
        <f>'Raw Analysis'!F22</f>
        <v>6</v>
      </c>
      <c r="H20" s="3">
        <f>'Raw Analysis'!G22</f>
        <v>39</v>
      </c>
      <c r="I20" s="18">
        <f>'Raw Analysis'!H22</f>
        <v>45.882352941176471</v>
      </c>
      <c r="J20" s="11">
        <f>'Raw Analysis'!I22</f>
        <v>-0.63935689312079347</v>
      </c>
      <c r="N20" s="3">
        <v>16</v>
      </c>
      <c r="O20" s="6" t="s">
        <v>4</v>
      </c>
      <c r="P20" s="6" t="s">
        <v>6</v>
      </c>
      <c r="Q20" s="3"/>
      <c r="R20" s="6" t="s">
        <v>4</v>
      </c>
      <c r="S20" s="6" t="s">
        <v>6</v>
      </c>
    </row>
    <row r="21" spans="1:19" x14ac:dyDescent="0.2">
      <c r="A21">
        <v>19</v>
      </c>
      <c r="B21" s="3">
        <f>'Raw Analysis'!A35</f>
        <v>982244</v>
      </c>
      <c r="C21" t="str">
        <f>'Raw Analysis'!B35</f>
        <v>Hernandez Salcedo, Belen</v>
      </c>
      <c r="D21" s="3">
        <f>'Raw Analysis'!C35</f>
        <v>43958</v>
      </c>
      <c r="E21" t="str">
        <f>'Raw Analysis'!D35</f>
        <v>BGHernandezSalcedo1@MY.SCCCD.EDU</v>
      </c>
      <c r="F21" s="3">
        <f>'Raw Analysis'!E35</f>
        <v>8</v>
      </c>
      <c r="G21" s="3">
        <f>'Raw Analysis'!F35</f>
        <v>4</v>
      </c>
      <c r="H21" s="3">
        <f>'Raw Analysis'!G35</f>
        <v>28</v>
      </c>
      <c r="I21" s="18">
        <f>'Raw Analysis'!H35</f>
        <v>32.941176470588232</v>
      </c>
      <c r="J21" s="11">
        <f>'Raw Analysis'!I35</f>
        <v>-1.3085345368535641</v>
      </c>
      <c r="N21" s="3">
        <v>17</v>
      </c>
      <c r="O21" s="6" t="s">
        <v>6</v>
      </c>
      <c r="P21" s="6" t="s">
        <v>5</v>
      </c>
      <c r="Q21" s="3"/>
      <c r="R21" s="6" t="s">
        <v>6</v>
      </c>
      <c r="S21" s="6" t="s">
        <v>5</v>
      </c>
    </row>
    <row r="22" spans="1:19" ht="15" x14ac:dyDescent="0.25">
      <c r="A22">
        <v>20</v>
      </c>
      <c r="B22" s="3">
        <f>'Raw Analysis'!A55</f>
        <v>1038679</v>
      </c>
      <c r="C22" t="str">
        <f>'Raw Analysis'!B55</f>
        <v>Hernandez, Arriel</v>
      </c>
      <c r="D22" s="3">
        <f>'Raw Analysis'!C55</f>
        <v>43958</v>
      </c>
      <c r="E22" t="str">
        <f>'Raw Analysis'!D55</f>
        <v>AHernandez641@MY.SCCCD.EDU</v>
      </c>
      <c r="F22" s="3">
        <f>'Raw Analysis'!E55</f>
        <v>8</v>
      </c>
      <c r="G22" s="3">
        <f>'Raw Analysis'!F55</f>
        <v>6</v>
      </c>
      <c r="H22" s="3">
        <f>'Raw Analysis'!G55</f>
        <v>30</v>
      </c>
      <c r="I22" s="18">
        <f>'Raw Analysis'!H55</f>
        <v>35.294117647058826</v>
      </c>
      <c r="J22" s="11">
        <f>'Raw Analysis'!I55</f>
        <v>-1.1868658743566964</v>
      </c>
      <c r="N22" s="3">
        <v>18</v>
      </c>
      <c r="O22" s="17" t="s">
        <v>4</v>
      </c>
      <c r="P22" s="6" t="s">
        <v>4</v>
      </c>
      <c r="Q22" s="3"/>
      <c r="R22" s="17" t="s">
        <v>7</v>
      </c>
      <c r="S22" s="6" t="s">
        <v>4</v>
      </c>
    </row>
    <row r="23" spans="1:19" x14ac:dyDescent="0.2">
      <c r="A23">
        <v>21</v>
      </c>
      <c r="B23" s="3">
        <f>'Raw Analysis'!A31</f>
        <v>958268</v>
      </c>
      <c r="C23" t="str">
        <f>'Raw Analysis'!B31</f>
        <v>Jimenez Merino, Oscar</v>
      </c>
      <c r="D23" s="3">
        <f>'Raw Analysis'!C31</f>
        <v>43958</v>
      </c>
      <c r="E23" t="str">
        <f>'Raw Analysis'!D31</f>
        <v>ODJimenezMerino1@MY.SCCCD.EDU</v>
      </c>
      <c r="F23" s="3">
        <f>'Raw Analysis'!E31</f>
        <v>17</v>
      </c>
      <c r="G23" s="3">
        <f>'Raw Analysis'!F31</f>
        <v>7</v>
      </c>
      <c r="H23" s="3">
        <f>'Raw Analysis'!G31</f>
        <v>58</v>
      </c>
      <c r="I23" s="18">
        <f>'Raw Analysis'!H31</f>
        <v>68.235294117647058</v>
      </c>
      <c r="J23" s="11">
        <f>'Raw Analysis'!I31</f>
        <v>0.51649540059944632</v>
      </c>
      <c r="N23" s="3">
        <v>19</v>
      </c>
      <c r="O23" s="6" t="s">
        <v>6</v>
      </c>
      <c r="P23" s="6" t="s">
        <v>6</v>
      </c>
      <c r="Q23" s="3"/>
      <c r="R23" s="6" t="s">
        <v>6</v>
      </c>
      <c r="S23" s="6" t="s">
        <v>6</v>
      </c>
    </row>
    <row r="24" spans="1:19" x14ac:dyDescent="0.2">
      <c r="A24">
        <v>22</v>
      </c>
      <c r="B24" s="3">
        <f>'Raw Analysis'!A45</f>
        <v>1043694</v>
      </c>
      <c r="C24" t="str">
        <f>'Raw Analysis'!B45</f>
        <v>Khan, Hamza</v>
      </c>
      <c r="D24" s="3">
        <f>'Raw Analysis'!C45</f>
        <v>43958</v>
      </c>
      <c r="E24" t="str">
        <f>'Raw Analysis'!D45</f>
        <v>HAKhan2@MY.SCCCD.EDU</v>
      </c>
      <c r="F24" s="3">
        <f>'Raw Analysis'!E45</f>
        <v>21</v>
      </c>
      <c r="G24" s="3">
        <f>'Raw Analysis'!F45</f>
        <v>10</v>
      </c>
      <c r="H24" s="3">
        <f>'Raw Analysis'!G45</f>
        <v>73</v>
      </c>
      <c r="I24" s="18">
        <f>'Raw Analysis'!H45</f>
        <v>85.882352941176464</v>
      </c>
      <c r="J24" s="11">
        <f>'Raw Analysis'!I45</f>
        <v>1.429010369325951</v>
      </c>
      <c r="N24" s="3">
        <v>20</v>
      </c>
      <c r="O24" s="6" t="s">
        <v>6</v>
      </c>
      <c r="P24" s="6" t="s">
        <v>6</v>
      </c>
      <c r="Q24" s="3"/>
      <c r="R24" s="6" t="s">
        <v>6</v>
      </c>
      <c r="S24" s="6" t="s">
        <v>6</v>
      </c>
    </row>
    <row r="25" spans="1:19" ht="15" x14ac:dyDescent="0.25">
      <c r="A25">
        <v>23</v>
      </c>
      <c r="B25" s="3">
        <f>'Raw Analysis'!A51</f>
        <v>1028207</v>
      </c>
      <c r="C25" t="str">
        <f>'Raw Analysis'!B51</f>
        <v>Lopez, Jovina</v>
      </c>
      <c r="D25" s="3">
        <f>'Raw Analysis'!C51</f>
        <v>43957</v>
      </c>
      <c r="E25" t="str">
        <f>'Raw Analysis'!D51</f>
        <v>JALopez110@MY.SCCCD.EDU</v>
      </c>
      <c r="F25" s="3">
        <f>'Raw Analysis'!E51</f>
        <v>6</v>
      </c>
      <c r="G25" s="3">
        <f>'Raw Analysis'!F51</f>
        <v>6</v>
      </c>
      <c r="H25" s="3">
        <f>'Raw Analysis'!G51</f>
        <v>24</v>
      </c>
      <c r="I25" s="18">
        <f>'Raw Analysis'!H51</f>
        <v>28.235294117647058</v>
      </c>
      <c r="J25" s="11">
        <f>'Raw Analysis'!I51</f>
        <v>-1.5518718618472986</v>
      </c>
      <c r="N25" s="3">
        <v>21</v>
      </c>
      <c r="O25" s="17" t="s">
        <v>7</v>
      </c>
      <c r="P25" s="17" t="s">
        <v>5</v>
      </c>
      <c r="Q25" s="17"/>
      <c r="R25" s="17" t="s">
        <v>4</v>
      </c>
      <c r="S25" s="17" t="s">
        <v>9</v>
      </c>
    </row>
    <row r="26" spans="1:19" x14ac:dyDescent="0.2">
      <c r="A26">
        <v>24</v>
      </c>
      <c r="B26" s="3">
        <f>'Raw Analysis'!A34</f>
        <v>977963</v>
      </c>
      <c r="C26" t="str">
        <f>'Raw Analysis'!B34</f>
        <v>Maravilla Martinez, Rogelio</v>
      </c>
      <c r="D26" s="3">
        <f>'Raw Analysis'!C34</f>
        <v>43958</v>
      </c>
      <c r="E26" t="str">
        <f>'Raw Analysis'!D34</f>
        <v>RMaravillaMartinez1@MY.SCCCD.EDU</v>
      </c>
      <c r="F26" s="3">
        <f>'Raw Analysis'!E34</f>
        <v>6</v>
      </c>
      <c r="G26" s="3">
        <f>'Raw Analysis'!F34</f>
        <v>7</v>
      </c>
      <c r="H26" s="3">
        <f>'Raw Analysis'!G34</f>
        <v>25</v>
      </c>
      <c r="I26" s="18">
        <f>'Raw Analysis'!H34</f>
        <v>29.411764705882351</v>
      </c>
      <c r="J26" s="11">
        <f>'Raw Analysis'!I34</f>
        <v>-1.491037530598865</v>
      </c>
      <c r="N26" s="3">
        <v>22</v>
      </c>
      <c r="O26" s="6" t="s">
        <v>7</v>
      </c>
      <c r="P26" s="6" t="s">
        <v>6</v>
      </c>
      <c r="Q26" s="3"/>
      <c r="R26" s="6" t="s">
        <v>7</v>
      </c>
      <c r="S26" s="6" t="s">
        <v>6</v>
      </c>
    </row>
    <row r="27" spans="1:19" x14ac:dyDescent="0.2">
      <c r="A27">
        <v>25</v>
      </c>
      <c r="B27" s="3">
        <f>'Raw Analysis'!A6</f>
        <v>345856</v>
      </c>
      <c r="C27" t="str">
        <f>'Raw Analysis'!B6</f>
        <v>Marquez, Rocelia</v>
      </c>
      <c r="D27" s="3">
        <f>'Raw Analysis'!C6</f>
        <v>43957</v>
      </c>
      <c r="E27" t="str">
        <f>'Raw Analysis'!D6</f>
        <v>RMarquez33@MY.SCCCD.EDU</v>
      </c>
      <c r="F27" s="3">
        <f>'Raw Analysis'!E6</f>
        <v>9</v>
      </c>
      <c r="G27" s="3">
        <f>'Raw Analysis'!F6</f>
        <v>8</v>
      </c>
      <c r="H27" s="3">
        <f>'Raw Analysis'!G6</f>
        <v>35</v>
      </c>
      <c r="I27" s="18">
        <f>'Raw Analysis'!H6</f>
        <v>41.176470588235297</v>
      </c>
      <c r="J27" s="11">
        <f>'Raw Analysis'!I6</f>
        <v>-0.88269421811452808</v>
      </c>
      <c r="N27" s="3">
        <v>23</v>
      </c>
      <c r="O27" s="6" t="s">
        <v>6</v>
      </c>
      <c r="P27" s="6" t="s">
        <v>7</v>
      </c>
      <c r="Q27" s="3"/>
      <c r="R27" s="6" t="s">
        <v>6</v>
      </c>
      <c r="S27" s="6" t="s">
        <v>7</v>
      </c>
    </row>
    <row r="28" spans="1:19" x14ac:dyDescent="0.2">
      <c r="A28">
        <v>26</v>
      </c>
      <c r="B28" s="3">
        <f>'Raw Analysis'!A20</f>
        <v>808147</v>
      </c>
      <c r="C28" t="str">
        <f>'Raw Analysis'!B20</f>
        <v>Martinez, Vanessa</v>
      </c>
      <c r="D28" s="3">
        <f>'Raw Analysis'!C20</f>
        <v>43958</v>
      </c>
      <c r="E28" t="str">
        <f>'Raw Analysis'!D20</f>
        <v>VEMartinez2@MY.SCCCD.EDU</v>
      </c>
      <c r="F28" s="3">
        <f>'Raw Analysis'!E20</f>
        <v>8</v>
      </c>
      <c r="G28" s="3">
        <f>'Raw Analysis'!F20</f>
        <v>6</v>
      </c>
      <c r="H28" s="3">
        <f>'Raw Analysis'!G20</f>
        <v>30</v>
      </c>
      <c r="I28" s="18">
        <f>'Raw Analysis'!H20</f>
        <v>35.294117647058826</v>
      </c>
      <c r="J28" s="11">
        <f>'Raw Analysis'!I20</f>
        <v>-1.1868658743566964</v>
      </c>
      <c r="N28" s="3">
        <v>24</v>
      </c>
      <c r="O28" s="6" t="s">
        <v>5</v>
      </c>
      <c r="P28" s="6" t="s">
        <v>7</v>
      </c>
      <c r="Q28" s="3"/>
      <c r="R28" s="6" t="s">
        <v>5</v>
      </c>
      <c r="S28" s="6" t="s">
        <v>7</v>
      </c>
    </row>
    <row r="29" spans="1:19" ht="15" x14ac:dyDescent="0.25">
      <c r="A29">
        <v>27</v>
      </c>
      <c r="B29" s="3">
        <f>'Raw Analysis'!A12</f>
        <v>684403</v>
      </c>
      <c r="C29" t="str">
        <f>'Raw Analysis'!B12</f>
        <v>Morgan, Steven</v>
      </c>
      <c r="D29" s="3">
        <f>'Raw Analysis'!C12</f>
        <v>43958</v>
      </c>
      <c r="E29" t="str">
        <f>'Raw Analysis'!D12</f>
        <v>SVMorgan1@MY.SCCCD.EDU</v>
      </c>
      <c r="F29" s="3">
        <f>'Raw Analysis'!E12</f>
        <v>17</v>
      </c>
      <c r="G29" s="3">
        <f>'Raw Analysis'!F12</f>
        <v>10</v>
      </c>
      <c r="H29" s="3">
        <f>'Raw Analysis'!G12</f>
        <v>61</v>
      </c>
      <c r="I29" s="18">
        <f>'Raw Analysis'!H12</f>
        <v>71.764705882352942</v>
      </c>
      <c r="J29" s="11">
        <f>'Raw Analysis'!I12</f>
        <v>0.69899839434474742</v>
      </c>
      <c r="N29" s="3">
        <v>25</v>
      </c>
      <c r="O29" s="17" t="s">
        <v>5</v>
      </c>
      <c r="P29" s="6" t="s">
        <v>5</v>
      </c>
      <c r="Q29" s="3"/>
      <c r="R29" s="17" t="s">
        <v>9</v>
      </c>
      <c r="S29" s="6" t="s">
        <v>5</v>
      </c>
    </row>
    <row r="30" spans="1:19" x14ac:dyDescent="0.2">
      <c r="A30">
        <v>28</v>
      </c>
      <c r="B30" s="3">
        <f>'Raw Analysis'!A54</f>
        <v>986455</v>
      </c>
      <c r="C30" t="str">
        <f>'Raw Analysis'!B54</f>
        <v>Moua, Haley</v>
      </c>
      <c r="D30" s="3">
        <f>'Raw Analysis'!C54</f>
        <v>43957</v>
      </c>
      <c r="E30" t="str">
        <f>'Raw Analysis'!D54</f>
        <v>HNMoua3@MY.SCCCD.EDU</v>
      </c>
      <c r="F30" s="3">
        <f>'Raw Analysis'!E54</f>
        <v>11</v>
      </c>
      <c r="G30" s="3">
        <f>'Raw Analysis'!F54</f>
        <v>8</v>
      </c>
      <c r="H30" s="3">
        <f>'Raw Analysis'!G54</f>
        <v>41</v>
      </c>
      <c r="I30" s="18">
        <f>'Raw Analysis'!H54</f>
        <v>48.235294117647058</v>
      </c>
      <c r="J30" s="11">
        <f>'Raw Analysis'!I54</f>
        <v>-0.51768823062392622</v>
      </c>
      <c r="N30" s="3">
        <v>26</v>
      </c>
      <c r="O30" s="6" t="s">
        <v>5</v>
      </c>
      <c r="P30" s="6" t="s">
        <v>5</v>
      </c>
      <c r="Q30" s="3"/>
      <c r="R30" s="6" t="s">
        <v>5</v>
      </c>
      <c r="S30" s="6" t="s">
        <v>5</v>
      </c>
    </row>
    <row r="31" spans="1:19" x14ac:dyDescent="0.2">
      <c r="A31">
        <v>29</v>
      </c>
      <c r="B31" s="3">
        <f>'Raw Analysis'!A46</f>
        <v>1047765</v>
      </c>
      <c r="C31" t="str">
        <f>'Raw Analysis'!B46</f>
        <v>Munoz Cisneros, Evelyn</v>
      </c>
      <c r="D31" s="3">
        <f>'Raw Analysis'!C46</f>
        <v>43957</v>
      </c>
      <c r="E31" t="str">
        <f>'Raw Analysis'!D46</f>
        <v>EMunozCisneros1@MY.SCCCD.EDU</v>
      </c>
      <c r="F31" s="3">
        <f>'Raw Analysis'!E46</f>
        <v>5</v>
      </c>
      <c r="G31" s="3">
        <f>'Raw Analysis'!F46</f>
        <v>4</v>
      </c>
      <c r="H31" s="3">
        <f>'Raw Analysis'!G46</f>
        <v>19</v>
      </c>
      <c r="I31" s="18">
        <f>'Raw Analysis'!H46</f>
        <v>22.352941176470587</v>
      </c>
      <c r="J31" s="11">
        <f>'Raw Analysis'!I46</f>
        <v>-1.856043518089467</v>
      </c>
      <c r="L31">
        <v>75.3</v>
      </c>
      <c r="N31" s="3">
        <v>27</v>
      </c>
      <c r="O31" s="6" t="s">
        <v>4</v>
      </c>
      <c r="P31" s="6" t="s">
        <v>4</v>
      </c>
      <c r="Q31" s="3"/>
      <c r="R31" s="6" t="s">
        <v>4</v>
      </c>
      <c r="S31" s="6" t="s">
        <v>4</v>
      </c>
    </row>
    <row r="32" spans="1:19" x14ac:dyDescent="0.2">
      <c r="A32">
        <v>30</v>
      </c>
      <c r="B32" s="3">
        <f>'Raw Analysis'!A39</f>
        <v>1014825</v>
      </c>
      <c r="C32" t="str">
        <f>'Raw Analysis'!B39</f>
        <v>Musso, Isabella</v>
      </c>
      <c r="D32" s="3">
        <f>'Raw Analysis'!C39</f>
        <v>43958</v>
      </c>
      <c r="E32" t="str">
        <f>'Raw Analysis'!D39</f>
        <v>IRMusso1@MY.SCCCD.EDU</v>
      </c>
      <c r="F32" s="3">
        <f>'Raw Analysis'!E39</f>
        <v>20</v>
      </c>
      <c r="G32" s="3">
        <f>'Raw Analysis'!F39</f>
        <v>9</v>
      </c>
      <c r="H32" s="3">
        <f>'Raw Analysis'!G39</f>
        <v>69</v>
      </c>
      <c r="I32" s="18">
        <f>'Raw Analysis'!H39</f>
        <v>81.17647058823529</v>
      </c>
      <c r="J32" s="11">
        <f>'Raw Analysis'!I39</f>
        <v>1.1856730443322165</v>
      </c>
      <c r="N32" s="3">
        <v>28</v>
      </c>
      <c r="O32" s="6" t="s">
        <v>4</v>
      </c>
      <c r="P32" s="6" t="s">
        <v>4</v>
      </c>
      <c r="Q32" s="3"/>
      <c r="R32" s="6" t="s">
        <v>4</v>
      </c>
      <c r="S32" s="6" t="s">
        <v>4</v>
      </c>
    </row>
    <row r="33" spans="1:19" x14ac:dyDescent="0.2">
      <c r="A33">
        <v>31</v>
      </c>
      <c r="B33" s="3">
        <f>'Raw Analysis'!A33</f>
        <v>977589</v>
      </c>
      <c r="C33" t="str">
        <f>'Raw Analysis'!B33</f>
        <v>Negrete, Miguel</v>
      </c>
      <c r="D33" s="3">
        <f>'Raw Analysis'!C33</f>
        <v>43958</v>
      </c>
      <c r="E33" t="str">
        <f>'Raw Analysis'!D33</f>
        <v>MNegrete25@MY.SCCCD.EDU</v>
      </c>
      <c r="F33" s="3">
        <f>'Raw Analysis'!E33</f>
        <v>17</v>
      </c>
      <c r="G33" s="3">
        <f>'Raw Analysis'!F33</f>
        <v>10</v>
      </c>
      <c r="H33" s="3">
        <f>'Raw Analysis'!G33</f>
        <v>61</v>
      </c>
      <c r="I33" s="18">
        <f>'Raw Analysis'!H33</f>
        <v>71.764705882352942</v>
      </c>
      <c r="J33" s="11">
        <f>'Raw Analysis'!I33</f>
        <v>0.69899839434474742</v>
      </c>
      <c r="N33" s="3">
        <v>29</v>
      </c>
      <c r="O33" s="6" t="s">
        <v>5</v>
      </c>
      <c r="P33" s="6" t="s">
        <v>5</v>
      </c>
      <c r="Q33" s="3"/>
      <c r="R33" s="6" t="s">
        <v>5</v>
      </c>
      <c r="S33" s="6" t="s">
        <v>5</v>
      </c>
    </row>
    <row r="34" spans="1:19" ht="15" x14ac:dyDescent="0.25">
      <c r="A34">
        <v>32</v>
      </c>
      <c r="B34" s="3">
        <f>'Raw Analysis'!A38</f>
        <v>1012960</v>
      </c>
      <c r="C34" t="str">
        <f>'Raw Analysis'!B38</f>
        <v>Nounvilaythong, Samaria</v>
      </c>
      <c r="D34" s="3">
        <f>'Raw Analysis'!C38</f>
        <v>43957</v>
      </c>
      <c r="E34" t="str">
        <f>'Raw Analysis'!D38</f>
        <v>SVNounvilaythong1@MY.SCCCD.EDU</v>
      </c>
      <c r="F34" s="3">
        <f>'Raw Analysis'!E38</f>
        <v>10</v>
      </c>
      <c r="G34" s="3">
        <f>'Raw Analysis'!F38</f>
        <v>9</v>
      </c>
      <c r="H34" s="3">
        <f>'Raw Analysis'!G38</f>
        <v>39</v>
      </c>
      <c r="I34" s="18">
        <f>'Raw Analysis'!H38</f>
        <v>45.882352941176471</v>
      </c>
      <c r="J34" s="11">
        <f>'Raw Analysis'!I38</f>
        <v>-0.63935689312079347</v>
      </c>
      <c r="N34" s="3">
        <v>30</v>
      </c>
      <c r="O34" s="17" t="s">
        <v>4</v>
      </c>
      <c r="P34" s="17" t="s">
        <v>4</v>
      </c>
      <c r="Q34" s="17"/>
      <c r="R34" s="17" t="s">
        <v>5</v>
      </c>
      <c r="S34" s="17" t="s">
        <v>5</v>
      </c>
    </row>
    <row r="35" spans="1:19" x14ac:dyDescent="0.2">
      <c r="A35">
        <v>33</v>
      </c>
      <c r="B35" s="3">
        <f>'Raw Analysis'!A43</f>
        <v>1039827</v>
      </c>
      <c r="C35" t="str">
        <f>'Raw Analysis'!B43</f>
        <v>Olea, Joscelyne</v>
      </c>
      <c r="D35" s="3">
        <f>'Raw Analysis'!C43</f>
        <v>43957</v>
      </c>
      <c r="E35" t="str">
        <f>'Raw Analysis'!D43</f>
        <v>JDOlea1@MY.SCCCD.EDU</v>
      </c>
      <c r="F35" s="3">
        <f>'Raw Analysis'!E43</f>
        <v>19</v>
      </c>
      <c r="G35" s="3">
        <f>'Raw Analysis'!F43</f>
        <v>10</v>
      </c>
      <c r="H35" s="3">
        <f>'Raw Analysis'!G43</f>
        <v>67</v>
      </c>
      <c r="I35" s="18">
        <f>'Raw Analysis'!H43</f>
        <v>78.82352941176471</v>
      </c>
      <c r="J35" s="11">
        <f>'Raw Analysis'!I43</f>
        <v>1.0640043818353495</v>
      </c>
      <c r="N35" s="3">
        <v>31</v>
      </c>
      <c r="O35" s="6" t="s">
        <v>4</v>
      </c>
      <c r="P35" s="6" t="s">
        <v>4</v>
      </c>
      <c r="Q35" s="3"/>
      <c r="R35" s="6" t="s">
        <v>4</v>
      </c>
      <c r="S35" s="6" t="s">
        <v>4</v>
      </c>
    </row>
    <row r="36" spans="1:19" ht="15" x14ac:dyDescent="0.25">
      <c r="A36">
        <v>34</v>
      </c>
      <c r="B36" s="3">
        <f>'Raw Analysis'!A19</f>
        <v>792916</v>
      </c>
      <c r="C36" t="str">
        <f>'Raw Analysis'!B19</f>
        <v>Parada, Jennifer</v>
      </c>
      <c r="D36" s="3">
        <f>'Raw Analysis'!C19</f>
        <v>43958</v>
      </c>
      <c r="E36" t="str">
        <f>'Raw Analysis'!D19</f>
        <v>JParada1@MY.SCCCD.EDU</v>
      </c>
      <c r="F36" s="3">
        <f>'Raw Analysis'!E19</f>
        <v>18</v>
      </c>
      <c r="G36" s="3">
        <f>'Raw Analysis'!F19</f>
        <v>10</v>
      </c>
      <c r="H36" s="3">
        <f>'Raw Analysis'!G19</f>
        <v>64</v>
      </c>
      <c r="I36" s="18">
        <f>'Raw Analysis'!H19</f>
        <v>75.294117647058826</v>
      </c>
      <c r="J36" s="11">
        <f>'Raw Analysis'!I19</f>
        <v>0.88150138809004852</v>
      </c>
      <c r="N36" s="3">
        <v>32</v>
      </c>
      <c r="O36" s="17" t="s">
        <v>5</v>
      </c>
      <c r="P36" s="17" t="s">
        <v>5</v>
      </c>
      <c r="Q36" s="17"/>
      <c r="R36" s="17" t="s">
        <v>4</v>
      </c>
      <c r="S36" s="17" t="s">
        <v>4</v>
      </c>
    </row>
    <row r="37" spans="1:19" ht="15" x14ac:dyDescent="0.25">
      <c r="A37">
        <v>35</v>
      </c>
      <c r="B37" s="3">
        <f>'Raw Analysis'!A42</f>
        <v>1035199</v>
      </c>
      <c r="C37" t="str">
        <f>'Raw Analysis'!B42</f>
        <v>Pascale, Teah</v>
      </c>
      <c r="D37" s="3">
        <f>'Raw Analysis'!C42</f>
        <v>43957</v>
      </c>
      <c r="E37" t="str">
        <f>'Raw Analysis'!D42</f>
        <v>TMPascale1@MY.SCCCD.EDU</v>
      </c>
      <c r="F37" s="3">
        <f>'Raw Analysis'!E42</f>
        <v>13</v>
      </c>
      <c r="G37" s="3">
        <f>'Raw Analysis'!F42</f>
        <v>4</v>
      </c>
      <c r="H37" s="3">
        <f>'Raw Analysis'!G42</f>
        <v>43</v>
      </c>
      <c r="I37" s="18">
        <f>'Raw Analysis'!H42</f>
        <v>50.588235294117645</v>
      </c>
      <c r="J37" s="11">
        <f>'Raw Analysis'!I42</f>
        <v>-0.39601956812705891</v>
      </c>
      <c r="N37" s="3">
        <v>33</v>
      </c>
      <c r="O37" s="17" t="s">
        <v>4</v>
      </c>
      <c r="P37" s="17" t="s">
        <v>4</v>
      </c>
      <c r="Q37" s="17"/>
      <c r="R37" s="17" t="s">
        <v>5</v>
      </c>
      <c r="S37" s="17" t="s">
        <v>5</v>
      </c>
    </row>
    <row r="38" spans="1:19" x14ac:dyDescent="0.2">
      <c r="A38">
        <v>36</v>
      </c>
      <c r="B38" s="3">
        <f>'Raw Analysis'!A26</f>
        <v>895473</v>
      </c>
      <c r="C38" t="str">
        <f>'Raw Analysis'!B26</f>
        <v>Pedroza, Serena</v>
      </c>
      <c r="D38" s="3">
        <f>'Raw Analysis'!C26</f>
        <v>43957</v>
      </c>
      <c r="E38" t="str">
        <f>'Raw Analysis'!D26</f>
        <v>SRPedroza2@MY.SCCCD.EDU</v>
      </c>
      <c r="F38" s="3">
        <f>'Raw Analysis'!E26</f>
        <v>16</v>
      </c>
      <c r="G38" s="3">
        <f>'Raw Analysis'!F26</f>
        <v>9</v>
      </c>
      <c r="H38" s="3">
        <f>'Raw Analysis'!G26</f>
        <v>57</v>
      </c>
      <c r="I38" s="18">
        <f>'Raw Analysis'!H26</f>
        <v>67.058823529411768</v>
      </c>
      <c r="J38" s="11">
        <f>'Raw Analysis'!I26</f>
        <v>0.4556610693510128</v>
      </c>
      <c r="N38" s="3">
        <v>34</v>
      </c>
      <c r="O38" s="6" t="s">
        <v>5</v>
      </c>
      <c r="P38" s="6" t="s">
        <v>5</v>
      </c>
      <c r="Q38" s="3"/>
      <c r="R38" s="6" t="s">
        <v>5</v>
      </c>
      <c r="S38" s="6" t="s">
        <v>5</v>
      </c>
    </row>
    <row r="39" spans="1:19" x14ac:dyDescent="0.2">
      <c r="A39">
        <v>37</v>
      </c>
      <c r="B39" s="3">
        <f>'Raw Analysis'!A21</f>
        <v>833771</v>
      </c>
      <c r="C39" t="str">
        <f>'Raw Analysis'!B21</f>
        <v>Perales, April</v>
      </c>
      <c r="D39" s="3">
        <f>'Raw Analysis'!C21</f>
        <v>43958</v>
      </c>
      <c r="E39" t="str">
        <f>'Raw Analysis'!D21</f>
        <v>AKPerales1@MY.SCCCD.EDU</v>
      </c>
      <c r="F39" s="3">
        <f>'Raw Analysis'!E21</f>
        <v>9</v>
      </c>
      <c r="G39" s="3">
        <f>'Raw Analysis'!F21</f>
        <v>6</v>
      </c>
      <c r="H39" s="3">
        <f>'Raw Analysis'!G21</f>
        <v>33</v>
      </c>
      <c r="I39" s="18">
        <f>'Raw Analysis'!H21</f>
        <v>38.823529411764703</v>
      </c>
      <c r="J39" s="11">
        <f>'Raw Analysis'!I21</f>
        <v>-1.0043628806113958</v>
      </c>
      <c r="N39" s="3">
        <v>35</v>
      </c>
      <c r="O39" s="6" t="s">
        <v>4</v>
      </c>
      <c r="P39" s="6" t="s">
        <v>4</v>
      </c>
      <c r="Q39" s="3"/>
      <c r="R39" s="6" t="s">
        <v>4</v>
      </c>
      <c r="S39" s="6" t="s">
        <v>4</v>
      </c>
    </row>
    <row r="40" spans="1:19" x14ac:dyDescent="0.2">
      <c r="A40">
        <v>38</v>
      </c>
      <c r="B40" s="3">
        <f>'Raw Analysis'!A8</f>
        <v>523330</v>
      </c>
      <c r="C40" t="str">
        <f>'Raw Analysis'!B8</f>
        <v>Pyle, Matthew</v>
      </c>
      <c r="D40" s="3">
        <f>'Raw Analysis'!C8</f>
        <v>43957</v>
      </c>
      <c r="E40" t="str">
        <f>'Raw Analysis'!D8</f>
        <v>MPyle1@MY.SCCCD.EDU</v>
      </c>
      <c r="F40" s="3">
        <f>'Raw Analysis'!E8</f>
        <v>15</v>
      </c>
      <c r="G40" s="3">
        <f>'Raw Analysis'!F8</f>
        <v>8</v>
      </c>
      <c r="H40" s="3">
        <f>'Raw Analysis'!G8</f>
        <v>53</v>
      </c>
      <c r="I40" s="18">
        <f>'Raw Analysis'!H8</f>
        <v>62.352941176470587</v>
      </c>
      <c r="J40" s="11">
        <f>'Raw Analysis'!I8</f>
        <v>0.21232374435727785</v>
      </c>
      <c r="L40" s="3"/>
      <c r="M40" s="3"/>
      <c r="N40" s="3"/>
    </row>
    <row r="41" spans="1:19" x14ac:dyDescent="0.2">
      <c r="A41">
        <v>39</v>
      </c>
      <c r="B41" s="3">
        <f>'Raw Analysis'!A30</f>
        <v>934915</v>
      </c>
      <c r="C41" t="str">
        <f>'Raw Analysis'!B30</f>
        <v>Rodriguez, Ericke</v>
      </c>
      <c r="D41" s="3">
        <f>'Raw Analysis'!C30</f>
        <v>43958</v>
      </c>
      <c r="E41" t="str">
        <f>'Raw Analysis'!D30</f>
        <v>EMRodriguez22@MY.SCCCD.EDU</v>
      </c>
      <c r="F41" s="3">
        <f>'Raw Analysis'!E30</f>
        <v>11</v>
      </c>
      <c r="G41" s="3">
        <f>'Raw Analysis'!F30</f>
        <v>7</v>
      </c>
      <c r="H41" s="3">
        <f>'Raw Analysis'!G30</f>
        <v>40</v>
      </c>
      <c r="I41" s="18">
        <f>'Raw Analysis'!H30</f>
        <v>47.058823529411768</v>
      </c>
      <c r="J41" s="11">
        <f>'Raw Analysis'!I30</f>
        <v>-0.57852256187235973</v>
      </c>
      <c r="L41" s="3"/>
      <c r="M41" s="3"/>
      <c r="N41" s="3"/>
    </row>
    <row r="42" spans="1:19" x14ac:dyDescent="0.2">
      <c r="A42">
        <v>40</v>
      </c>
      <c r="B42" s="3">
        <f>'Raw Analysis'!A10</f>
        <v>574404</v>
      </c>
      <c r="C42" t="str">
        <f>'Raw Analysis'!B10</f>
        <v>Rodriguez, Madison</v>
      </c>
      <c r="D42" s="3">
        <f>'Raw Analysis'!C10</f>
        <v>43958</v>
      </c>
      <c r="E42" t="str">
        <f>'Raw Analysis'!D10</f>
        <v>MTRodriguez3@MY.SCCCD.EDU</v>
      </c>
      <c r="F42" s="3">
        <f>'Raw Analysis'!E10</f>
        <v>10</v>
      </c>
      <c r="G42" s="3">
        <f>'Raw Analysis'!F10</f>
        <v>8</v>
      </c>
      <c r="H42" s="3">
        <f>'Raw Analysis'!G10</f>
        <v>38</v>
      </c>
      <c r="I42" s="18">
        <f>'Raw Analysis'!H10</f>
        <v>44.705882352941174</v>
      </c>
      <c r="J42" s="11">
        <f>'Raw Analysis'!I10</f>
        <v>-0.70019122436922732</v>
      </c>
      <c r="L42" s="3"/>
      <c r="M42" s="3"/>
      <c r="N42" s="3"/>
    </row>
    <row r="43" spans="1:19" x14ac:dyDescent="0.2">
      <c r="A43">
        <v>41</v>
      </c>
      <c r="B43" s="3">
        <f>'Raw Analysis'!A32</f>
        <v>964444</v>
      </c>
      <c r="C43" t="str">
        <f>'Raw Analysis'!B32</f>
        <v>Ross, Derick</v>
      </c>
      <c r="D43" s="3">
        <f>'Raw Analysis'!C32</f>
        <v>43957</v>
      </c>
      <c r="E43" t="str">
        <f>'Raw Analysis'!D32</f>
        <v>DSRoss2@MY.SCCCD.EDU</v>
      </c>
      <c r="F43" s="3">
        <f>'Raw Analysis'!E32</f>
        <v>22</v>
      </c>
      <c r="G43" s="3">
        <f>'Raw Analysis'!F32</f>
        <v>5</v>
      </c>
      <c r="H43" s="3">
        <f>'Raw Analysis'!G32</f>
        <v>71</v>
      </c>
      <c r="I43" s="18">
        <f>'Raw Analysis'!H32</f>
        <v>83.529411764705884</v>
      </c>
      <c r="J43" s="11">
        <f>'Raw Analysis'!I32</f>
        <v>1.3073417068290842</v>
      </c>
      <c r="L43" s="3"/>
      <c r="M43" s="3"/>
      <c r="N43" s="3"/>
    </row>
    <row r="44" spans="1:19" x14ac:dyDescent="0.2">
      <c r="A44">
        <v>42</v>
      </c>
      <c r="B44" s="3">
        <f>'Raw Analysis'!A9</f>
        <v>547169</v>
      </c>
      <c r="C44" t="str">
        <f>'Raw Analysis'!B9</f>
        <v>San Roman, Jesus</v>
      </c>
      <c r="D44" s="3">
        <f>'Raw Analysis'!C9</f>
        <v>43958</v>
      </c>
      <c r="E44" t="str">
        <f>'Raw Analysis'!D9</f>
        <v>JSanRoman2@MY.SCCCD.EDU</v>
      </c>
      <c r="F44" s="3">
        <f>'Raw Analysis'!E9</f>
        <v>18</v>
      </c>
      <c r="G44" s="3">
        <f>'Raw Analysis'!F9</f>
        <v>9</v>
      </c>
      <c r="H44" s="3">
        <f>'Raw Analysis'!G9</f>
        <v>63</v>
      </c>
      <c r="I44" s="18">
        <f>'Raw Analysis'!H9</f>
        <v>74.117647058823536</v>
      </c>
      <c r="J44" s="11">
        <f>'Raw Analysis'!I9</f>
        <v>0.82066705684161501</v>
      </c>
      <c r="L44" s="3"/>
      <c r="M44" s="3"/>
      <c r="N44" s="3"/>
    </row>
    <row r="45" spans="1:19" x14ac:dyDescent="0.2">
      <c r="A45">
        <v>43</v>
      </c>
      <c r="B45" s="3">
        <f>'Raw Analysis'!A53</f>
        <v>1022282</v>
      </c>
      <c r="C45" t="str">
        <f>'Raw Analysis'!B53</f>
        <v>Sandoval, Emily</v>
      </c>
      <c r="D45" s="3">
        <f>'Raw Analysis'!C53</f>
        <v>43957</v>
      </c>
      <c r="E45" t="str">
        <f>'Raw Analysis'!D53</f>
        <v>EESandoval2@MY.SCCCD.EDU</v>
      </c>
      <c r="F45" s="3">
        <f>'Raw Analysis'!E53</f>
        <v>11</v>
      </c>
      <c r="G45" s="3">
        <f>'Raw Analysis'!F53</f>
        <v>7</v>
      </c>
      <c r="H45" s="3">
        <f>'Raw Analysis'!G53</f>
        <v>40</v>
      </c>
      <c r="I45" s="18">
        <f>'Raw Analysis'!H53</f>
        <v>47.058823529411768</v>
      </c>
      <c r="J45" s="11">
        <f>'Raw Analysis'!I53</f>
        <v>-0.57852256187235973</v>
      </c>
      <c r="L45" s="3"/>
      <c r="M45" s="3"/>
      <c r="N45" s="3"/>
    </row>
    <row r="46" spans="1:19" x14ac:dyDescent="0.2">
      <c r="A46">
        <v>44</v>
      </c>
      <c r="B46" s="3">
        <f>'Raw Analysis'!A28</f>
        <v>924739</v>
      </c>
      <c r="C46" t="str">
        <f>'Raw Analysis'!B28</f>
        <v>Santos, Madison</v>
      </c>
      <c r="D46" s="3">
        <f>'Raw Analysis'!C28</f>
        <v>43957</v>
      </c>
      <c r="E46" t="str">
        <f>'Raw Analysis'!D28</f>
        <v>MRSantos3@MY.SCCCD.EDU</v>
      </c>
      <c r="F46" s="3">
        <f>'Raw Analysis'!E28</f>
        <v>13</v>
      </c>
      <c r="G46" s="3">
        <f>'Raw Analysis'!F28</f>
        <v>5</v>
      </c>
      <c r="H46" s="3">
        <f>'Raw Analysis'!G28</f>
        <v>44</v>
      </c>
      <c r="I46" s="18">
        <f>'Raw Analysis'!H28</f>
        <v>51.764705882352942</v>
      </c>
      <c r="J46" s="11">
        <f>'Raw Analysis'!I28</f>
        <v>-0.33518523687862511</v>
      </c>
      <c r="L46" s="3"/>
      <c r="M46" s="3"/>
      <c r="N46" s="3"/>
    </row>
    <row r="47" spans="1:19" x14ac:dyDescent="0.2">
      <c r="A47">
        <v>45</v>
      </c>
      <c r="B47" s="3">
        <f>'Raw Analysis'!A25</f>
        <v>891883</v>
      </c>
      <c r="C47" t="str">
        <f>'Raw Analysis'!B25</f>
        <v>Sarkisyan, Rita</v>
      </c>
      <c r="D47" s="3">
        <f>'Raw Analysis'!C25</f>
        <v>43957</v>
      </c>
      <c r="E47" t="str">
        <f>'Raw Analysis'!D25</f>
        <v>RASarkisyan1@MY.SCCCD.EDU</v>
      </c>
      <c r="F47" s="3">
        <f>'Raw Analysis'!E25</f>
        <v>14</v>
      </c>
      <c r="G47" s="3">
        <f>'Raw Analysis'!F25</f>
        <v>9</v>
      </c>
      <c r="H47" s="3">
        <f>'Raw Analysis'!G25</f>
        <v>51</v>
      </c>
      <c r="I47" s="18">
        <f>'Raw Analysis'!H25</f>
        <v>60</v>
      </c>
      <c r="J47" s="11">
        <f>'Raw Analysis'!I25</f>
        <v>9.0655081860410575E-2</v>
      </c>
      <c r="L47" s="3"/>
      <c r="M47" s="3"/>
      <c r="N47" s="3"/>
    </row>
    <row r="48" spans="1:19" x14ac:dyDescent="0.2">
      <c r="A48">
        <v>46</v>
      </c>
      <c r="B48" s="3">
        <f>'Raw Analysis'!A49</f>
        <v>1068669</v>
      </c>
      <c r="C48" t="str">
        <f>'Raw Analysis'!B49</f>
        <v>Snell, Tricia</v>
      </c>
      <c r="D48" s="3">
        <f>'Raw Analysis'!C49</f>
        <v>43957</v>
      </c>
      <c r="E48" t="str">
        <f>'Raw Analysis'!D49</f>
        <v>TDSnell1@MY.SCCCD.EDU</v>
      </c>
      <c r="F48" s="3">
        <f>'Raw Analysis'!E49</f>
        <v>24</v>
      </c>
      <c r="G48" s="3">
        <f>'Raw Analysis'!F49</f>
        <v>10</v>
      </c>
      <c r="H48" s="3">
        <f>'Raw Analysis'!G49</f>
        <v>82</v>
      </c>
      <c r="I48" s="18">
        <f>'Raw Analysis'!H49</f>
        <v>96.470588235294116</v>
      </c>
      <c r="J48" s="11">
        <f>'Raw Analysis'!I49</f>
        <v>1.9765193505618543</v>
      </c>
      <c r="L48" s="3"/>
      <c r="M48" s="3"/>
      <c r="N48" s="3"/>
    </row>
    <row r="49" spans="1:14" x14ac:dyDescent="0.2">
      <c r="A49">
        <v>47</v>
      </c>
      <c r="B49" s="3">
        <f>'Raw Analysis'!A27</f>
        <v>896290</v>
      </c>
      <c r="C49" t="str">
        <f>'Raw Analysis'!B27</f>
        <v>Tacadena, Elle</v>
      </c>
      <c r="D49" s="3">
        <f>'Raw Analysis'!C27</f>
        <v>43957</v>
      </c>
      <c r="E49" t="str">
        <f>'Raw Analysis'!D27</f>
        <v>EMTacadena1@MY.SCCCD.EDU</v>
      </c>
      <c r="F49" s="3">
        <f>'Raw Analysis'!E27</f>
        <v>13</v>
      </c>
      <c r="G49" s="3">
        <f>'Raw Analysis'!F27</f>
        <v>8</v>
      </c>
      <c r="H49" s="3">
        <f>'Raw Analysis'!G27</f>
        <v>47</v>
      </c>
      <c r="I49" s="18">
        <f>'Raw Analysis'!H27</f>
        <v>55.294117647058826</v>
      </c>
      <c r="J49" s="11">
        <f>'Raw Analysis'!I27</f>
        <v>-0.15268224313332399</v>
      </c>
      <c r="L49" s="3"/>
      <c r="M49" s="3"/>
      <c r="N49" s="3"/>
    </row>
    <row r="50" spans="1:14" x14ac:dyDescent="0.2">
      <c r="A50">
        <v>48</v>
      </c>
      <c r="B50" s="3">
        <f>'Raw Analysis'!A17</f>
        <v>775232</v>
      </c>
      <c r="C50" t="str">
        <f>'Raw Analysis'!B17</f>
        <v>Vargas, Lisa</v>
      </c>
      <c r="D50" s="3">
        <f>'Raw Analysis'!C17</f>
        <v>43957</v>
      </c>
      <c r="E50" t="str">
        <f>'Raw Analysis'!D17</f>
        <v>LRVargas1@MY.SCCCD.EDU</v>
      </c>
      <c r="F50" s="3">
        <f>'Raw Analysis'!E17</f>
        <v>13</v>
      </c>
      <c r="G50" s="3">
        <f>'Raw Analysis'!F17</f>
        <v>10</v>
      </c>
      <c r="H50" s="3">
        <f>'Raw Analysis'!G17</f>
        <v>49</v>
      </c>
      <c r="I50" s="18">
        <f>'Raw Analysis'!H17</f>
        <v>57.647058823529413</v>
      </c>
      <c r="J50" s="11">
        <f>'Raw Analysis'!I17</f>
        <v>-3.1013580636456706E-2</v>
      </c>
      <c r="L50" s="3"/>
      <c r="M50" s="3"/>
      <c r="N50" s="3"/>
    </row>
    <row r="51" spans="1:14" x14ac:dyDescent="0.2">
      <c r="A51">
        <v>49</v>
      </c>
      <c r="B51" s="3">
        <f>'Raw Analysis'!A29</f>
        <v>934216</v>
      </c>
      <c r="C51" t="str">
        <f>'Raw Analysis'!B29</f>
        <v>Wright, Rebecca</v>
      </c>
      <c r="D51" s="3">
        <f>'Raw Analysis'!C29</f>
        <v>43957</v>
      </c>
      <c r="E51" t="str">
        <f>'Raw Analysis'!D29</f>
        <v>RLWright3@MY.SCCCD.EDU</v>
      </c>
      <c r="F51" s="3">
        <f>'Raw Analysis'!E29</f>
        <v>17</v>
      </c>
      <c r="G51" s="3">
        <f>'Raw Analysis'!F29</f>
        <v>5</v>
      </c>
      <c r="H51" s="3">
        <f>'Raw Analysis'!G29</f>
        <v>56</v>
      </c>
      <c r="I51" s="18">
        <f>'Raw Analysis'!H29</f>
        <v>65.882352941176464</v>
      </c>
      <c r="J51" s="11">
        <f>'Raw Analysis'!I29</f>
        <v>0.39482673810257862</v>
      </c>
      <c r="L51" s="3"/>
      <c r="M51" s="3"/>
      <c r="N51" s="3"/>
    </row>
    <row r="52" spans="1:14" x14ac:dyDescent="0.2">
      <c r="A52">
        <v>50</v>
      </c>
      <c r="B52" s="3">
        <f>'Raw Analysis'!A37</f>
        <v>997376</v>
      </c>
      <c r="C52" t="str">
        <f>'Raw Analysis'!B37</f>
        <v>Xiong, Wendy</v>
      </c>
      <c r="D52" s="3">
        <f>'Raw Analysis'!C37</f>
        <v>43958</v>
      </c>
      <c r="E52" t="str">
        <f>'Raw Analysis'!D37</f>
        <v>WPXiong2@MY.SCCCD.EDU</v>
      </c>
      <c r="F52" s="3">
        <f>'Raw Analysis'!E37</f>
        <v>11</v>
      </c>
      <c r="G52" s="3">
        <f>'Raw Analysis'!F37</f>
        <v>8</v>
      </c>
      <c r="H52" s="3">
        <f>'Raw Analysis'!G37</f>
        <v>41</v>
      </c>
      <c r="I52" s="18">
        <f>'Raw Analysis'!H37</f>
        <v>48.235294117647058</v>
      </c>
      <c r="J52" s="11">
        <f>'Raw Analysis'!I37</f>
        <v>-0.51768823062392622</v>
      </c>
      <c r="L52" s="3"/>
      <c r="M52" s="3"/>
      <c r="N52" s="3"/>
    </row>
    <row r="53" spans="1:14" x14ac:dyDescent="0.2">
      <c r="A53">
        <v>51</v>
      </c>
      <c r="B53" s="3">
        <f>'Raw Analysis'!A15</f>
        <v>754151</v>
      </c>
      <c r="C53" t="str">
        <f>'Raw Analysis'!B15</f>
        <v>Zavala, Nia</v>
      </c>
      <c r="D53" s="3">
        <f>'Raw Analysis'!C15</f>
        <v>43958</v>
      </c>
      <c r="E53" t="str">
        <f>'Raw Analysis'!D15</f>
        <v>NRZavala2@MY.SCCCD.EDU</v>
      </c>
      <c r="F53" s="3">
        <f>'Raw Analysis'!E15</f>
        <v>12</v>
      </c>
      <c r="G53" s="3">
        <f>'Raw Analysis'!F15</f>
        <v>7</v>
      </c>
      <c r="H53" s="3">
        <f>'Raw Analysis'!G15</f>
        <v>43</v>
      </c>
      <c r="I53" s="18">
        <f>'Raw Analysis'!H15</f>
        <v>50.588235294117645</v>
      </c>
      <c r="J53" s="11">
        <f>'Raw Analysis'!I15</f>
        <v>-0.39601956812705891</v>
      </c>
      <c r="L53" s="3"/>
      <c r="M53" s="3"/>
      <c r="N53" s="3"/>
    </row>
    <row r="54" spans="1:14" x14ac:dyDescent="0.2">
      <c r="I54" s="3"/>
    </row>
  </sheetData>
  <sortState xmlns:xlrd2="http://schemas.microsoft.com/office/spreadsheetml/2017/richdata2" ref="B3:J53">
    <sortCondition ref="C3:C53"/>
  </sortState>
  <mergeCells count="6">
    <mergeCell ref="O2:P2"/>
    <mergeCell ref="F1:F2"/>
    <mergeCell ref="G1:G2"/>
    <mergeCell ref="H1:H2"/>
    <mergeCell ref="I1:I2"/>
    <mergeCell ref="J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fcc-labs</dc:creator>
  <cp:lastModifiedBy>sm h</cp:lastModifiedBy>
  <dcterms:created xsi:type="dcterms:W3CDTF">2025-11-05T17:15:45Z</dcterms:created>
  <dcterms:modified xsi:type="dcterms:W3CDTF">2025-11-10T20:33:41Z</dcterms:modified>
</cp:coreProperties>
</file>