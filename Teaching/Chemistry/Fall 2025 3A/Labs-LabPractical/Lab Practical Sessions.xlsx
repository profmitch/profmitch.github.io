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Mavigozler GitHub\mavigozler.github.io\Teaching\Chemistry\Labs\Lab Practical\"/>
    </mc:Choice>
  </mc:AlternateContent>
  <xr:revisionPtr revIDLastSave="0" documentId="13_ncr:1_{91AF7D6F-C116-4711-BD22-BE1EB0EB65D6}" xr6:coauthVersionLast="47" xr6:coauthVersionMax="47" xr10:uidLastSave="{00000000-0000-0000-0000-000000000000}"/>
  <bookViews>
    <workbookView xWindow="20850" yWindow="870" windowWidth="16455" windowHeight="18015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1" i="2" l="1"/>
  <c r="B130" i="2"/>
  <c r="B129" i="2"/>
  <c r="B128" i="2"/>
  <c r="B125" i="2"/>
  <c r="B124" i="2"/>
  <c r="B122" i="2"/>
  <c r="B121" i="2"/>
  <c r="B120" i="2"/>
  <c r="B123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28" i="2"/>
  <c r="CE48" i="2"/>
  <c r="CE49" i="2"/>
  <c r="CE50" i="2"/>
  <c r="CE51" i="2"/>
  <c r="CE52" i="2"/>
  <c r="CE53" i="2"/>
  <c r="CE54" i="2"/>
  <c r="CE55" i="2"/>
  <c r="CE56" i="2"/>
  <c r="CE57" i="2"/>
  <c r="CE58" i="2"/>
  <c r="CE59" i="2"/>
  <c r="CE60" i="2"/>
  <c r="CE61" i="2"/>
  <c r="CE62" i="2"/>
  <c r="CE63" i="2"/>
  <c r="CE64" i="2"/>
  <c r="K49" i="2"/>
  <c r="K50" i="2"/>
  <c r="K48" i="2"/>
  <c r="BV48" i="2"/>
  <c r="BV49" i="2"/>
  <c r="BV50" i="2"/>
  <c r="BV51" i="2"/>
  <c r="K51" i="2" s="1"/>
  <c r="BV52" i="2"/>
  <c r="K52" i="2" s="1"/>
  <c r="BV53" i="2"/>
  <c r="K53" i="2" s="1"/>
  <c r="BV54" i="2"/>
  <c r="K54" i="2" s="1"/>
  <c r="BV55" i="2"/>
  <c r="K55" i="2" s="1"/>
  <c r="BV56" i="2"/>
  <c r="K56" i="2" s="1"/>
  <c r="BV57" i="2"/>
  <c r="K57" i="2" s="1"/>
  <c r="BV58" i="2"/>
  <c r="K58" i="2" s="1"/>
  <c r="BV59" i="2"/>
  <c r="K59" i="2" s="1"/>
  <c r="BV60" i="2"/>
  <c r="K60" i="2" s="1"/>
  <c r="BV61" i="2"/>
  <c r="K61" i="2" s="1"/>
  <c r="BV62" i="2"/>
  <c r="K62" i="2" s="1"/>
  <c r="BV63" i="2"/>
  <c r="K63" i="2" s="1"/>
  <c r="BV64" i="2"/>
  <c r="K64" i="2" s="1"/>
  <c r="BQ48" i="2"/>
  <c r="J48" i="2" s="1"/>
  <c r="BQ49" i="2"/>
  <c r="J49" i="2" s="1"/>
  <c r="BQ50" i="2"/>
  <c r="J50" i="2" s="1"/>
  <c r="BQ51" i="2"/>
  <c r="J51" i="2" s="1"/>
  <c r="BQ52" i="2"/>
  <c r="J52" i="2" s="1"/>
  <c r="BQ53" i="2"/>
  <c r="J53" i="2" s="1"/>
  <c r="BQ54" i="2"/>
  <c r="J54" i="2" s="1"/>
  <c r="BQ55" i="2"/>
  <c r="J55" i="2" s="1"/>
  <c r="BQ56" i="2"/>
  <c r="J56" i="2" s="1"/>
  <c r="BQ57" i="2"/>
  <c r="J57" i="2" s="1"/>
  <c r="BQ58" i="2"/>
  <c r="J58" i="2" s="1"/>
  <c r="BQ59" i="2"/>
  <c r="J59" i="2" s="1"/>
  <c r="BQ60" i="2"/>
  <c r="J60" i="2" s="1"/>
  <c r="BQ61" i="2"/>
  <c r="J61" i="2" s="1"/>
  <c r="BQ62" i="2"/>
  <c r="J62" i="2" s="1"/>
  <c r="BQ63" i="2"/>
  <c r="J63" i="2" s="1"/>
  <c r="BQ64" i="2"/>
  <c r="J64" i="2" s="1"/>
  <c r="BK48" i="2"/>
  <c r="I48" i="2" s="1"/>
  <c r="BK49" i="2"/>
  <c r="I49" i="2" s="1"/>
  <c r="BK50" i="2"/>
  <c r="I50" i="2" s="1"/>
  <c r="BK51" i="2"/>
  <c r="I51" i="2" s="1"/>
  <c r="BK52" i="2"/>
  <c r="I52" i="2" s="1"/>
  <c r="BK53" i="2"/>
  <c r="I53" i="2" s="1"/>
  <c r="BK54" i="2"/>
  <c r="I54" i="2" s="1"/>
  <c r="BK55" i="2"/>
  <c r="I55" i="2" s="1"/>
  <c r="BK56" i="2"/>
  <c r="I56" i="2" s="1"/>
  <c r="BK57" i="2"/>
  <c r="I57" i="2" s="1"/>
  <c r="BK58" i="2"/>
  <c r="I58" i="2" s="1"/>
  <c r="BK59" i="2"/>
  <c r="I59" i="2" s="1"/>
  <c r="BK60" i="2"/>
  <c r="I60" i="2" s="1"/>
  <c r="BK61" i="2"/>
  <c r="I61" i="2" s="1"/>
  <c r="BK62" i="2"/>
  <c r="I62" i="2" s="1"/>
  <c r="BK63" i="2"/>
  <c r="I63" i="2" s="1"/>
  <c r="BK64" i="2"/>
  <c r="I64" i="2" s="1"/>
  <c r="BF48" i="2"/>
  <c r="H48" i="2" s="1"/>
  <c r="BF49" i="2"/>
  <c r="H49" i="2" s="1"/>
  <c r="BF50" i="2"/>
  <c r="H50" i="2" s="1"/>
  <c r="BF51" i="2"/>
  <c r="H51" i="2" s="1"/>
  <c r="BF52" i="2"/>
  <c r="H52" i="2" s="1"/>
  <c r="BF53" i="2"/>
  <c r="H53" i="2" s="1"/>
  <c r="BF54" i="2"/>
  <c r="H54" i="2" s="1"/>
  <c r="BF55" i="2"/>
  <c r="H55" i="2" s="1"/>
  <c r="BF56" i="2"/>
  <c r="H56" i="2" s="1"/>
  <c r="BF57" i="2"/>
  <c r="H57" i="2" s="1"/>
  <c r="BF58" i="2"/>
  <c r="H58" i="2" s="1"/>
  <c r="BF59" i="2"/>
  <c r="H59" i="2" s="1"/>
  <c r="H66" i="2" s="1"/>
  <c r="BF60" i="2"/>
  <c r="H60" i="2" s="1"/>
  <c r="BF61" i="2"/>
  <c r="H61" i="2" s="1"/>
  <c r="BF62" i="2"/>
  <c r="H62" i="2" s="1"/>
  <c r="BF63" i="2"/>
  <c r="H63" i="2" s="1"/>
  <c r="BF64" i="2"/>
  <c r="H64" i="2" s="1"/>
  <c r="AX48" i="2"/>
  <c r="G48" i="2" s="1"/>
  <c r="AX49" i="2"/>
  <c r="G49" i="2" s="1"/>
  <c r="AX50" i="2"/>
  <c r="G50" i="2" s="1"/>
  <c r="AX51" i="2"/>
  <c r="G51" i="2" s="1"/>
  <c r="AX52" i="2"/>
  <c r="G52" i="2" s="1"/>
  <c r="AX53" i="2"/>
  <c r="G53" i="2" s="1"/>
  <c r="AX54" i="2"/>
  <c r="G54" i="2" s="1"/>
  <c r="AX55" i="2"/>
  <c r="G55" i="2" s="1"/>
  <c r="G66" i="2" s="1"/>
  <c r="AX56" i="2"/>
  <c r="G56" i="2" s="1"/>
  <c r="AX57" i="2"/>
  <c r="G57" i="2" s="1"/>
  <c r="AX58" i="2"/>
  <c r="G58" i="2" s="1"/>
  <c r="AX59" i="2"/>
  <c r="G59" i="2" s="1"/>
  <c r="AX60" i="2"/>
  <c r="G60" i="2" s="1"/>
  <c r="AX61" i="2"/>
  <c r="G61" i="2" s="1"/>
  <c r="AX62" i="2"/>
  <c r="G62" i="2" s="1"/>
  <c r="AX63" i="2"/>
  <c r="G63" i="2" s="1"/>
  <c r="AX64" i="2"/>
  <c r="G64" i="2" s="1"/>
  <c r="AL68" i="2"/>
  <c r="AQ49" i="2"/>
  <c r="F49" i="2" s="1"/>
  <c r="AQ50" i="2"/>
  <c r="F50" i="2" s="1"/>
  <c r="AQ51" i="2"/>
  <c r="F51" i="2" s="1"/>
  <c r="AQ52" i="2"/>
  <c r="F52" i="2" s="1"/>
  <c r="AQ53" i="2"/>
  <c r="F53" i="2" s="1"/>
  <c r="AQ54" i="2"/>
  <c r="F54" i="2" s="1"/>
  <c r="AQ55" i="2"/>
  <c r="F55" i="2" s="1"/>
  <c r="AQ56" i="2"/>
  <c r="F56" i="2" s="1"/>
  <c r="AQ57" i="2"/>
  <c r="F57" i="2" s="1"/>
  <c r="AQ58" i="2"/>
  <c r="F58" i="2" s="1"/>
  <c r="AQ59" i="2"/>
  <c r="F59" i="2" s="1"/>
  <c r="AQ60" i="2"/>
  <c r="F60" i="2" s="1"/>
  <c r="AQ61" i="2"/>
  <c r="F61" i="2" s="1"/>
  <c r="AQ62" i="2"/>
  <c r="F62" i="2" s="1"/>
  <c r="AQ63" i="2"/>
  <c r="F63" i="2" s="1"/>
  <c r="AQ64" i="2"/>
  <c r="F64" i="2" s="1"/>
  <c r="AQ48" i="2"/>
  <c r="F48" i="2" s="1"/>
  <c r="F66" i="2" l="1"/>
  <c r="I66" i="2"/>
  <c r="BQ28" i="2" l="1"/>
  <c r="BQ29" i="2"/>
  <c r="BQ30" i="2"/>
  <c r="BQ31" i="2"/>
  <c r="BQ32" i="2"/>
  <c r="BQ33" i="2"/>
  <c r="BQ34" i="2"/>
  <c r="BQ35" i="2"/>
  <c r="BQ36" i="2"/>
  <c r="BQ37" i="2"/>
  <c r="BQ38" i="2"/>
  <c r="BQ39" i="2"/>
  <c r="BQ40" i="2"/>
  <c r="BQ41" i="2"/>
  <c r="BQ42" i="2"/>
  <c r="BQ26" i="2"/>
  <c r="R29" i="2"/>
  <c r="C29" i="2" s="1"/>
  <c r="R30" i="2"/>
  <c r="C30" i="2" s="1"/>
  <c r="R31" i="2"/>
  <c r="C31" i="2" s="1"/>
  <c r="R32" i="2"/>
  <c r="C32" i="2" s="1"/>
  <c r="R33" i="2"/>
  <c r="C33" i="2" s="1"/>
  <c r="R34" i="2"/>
  <c r="C34" i="2" s="1"/>
  <c r="R35" i="2"/>
  <c r="C35" i="2" s="1"/>
  <c r="R36" i="2"/>
  <c r="C36" i="2" s="1"/>
  <c r="R37" i="2"/>
  <c r="C37" i="2" s="1"/>
  <c r="R38" i="2"/>
  <c r="C38" i="2" s="1"/>
  <c r="R39" i="2"/>
  <c r="C39" i="2" s="1"/>
  <c r="R40" i="2"/>
  <c r="C40" i="2" s="1"/>
  <c r="R41" i="2"/>
  <c r="C41" i="2" s="1"/>
  <c r="R42" i="2"/>
  <c r="C42" i="2" s="1"/>
  <c r="CE46" i="2"/>
  <c r="BV46" i="2"/>
  <c r="BQ46" i="2"/>
  <c r="BK46" i="2"/>
  <c r="BF46" i="2"/>
  <c r="AX46" i="2"/>
  <c r="AQ46" i="2"/>
  <c r="AI48" i="2"/>
  <c r="E48" i="2" s="1"/>
  <c r="AI49" i="2"/>
  <c r="E49" i="2" s="1"/>
  <c r="AI50" i="2"/>
  <c r="E50" i="2" s="1"/>
  <c r="AI51" i="2"/>
  <c r="E51" i="2" s="1"/>
  <c r="AI52" i="2"/>
  <c r="E52" i="2" s="1"/>
  <c r="AI53" i="2"/>
  <c r="E53" i="2" s="1"/>
  <c r="AI54" i="2"/>
  <c r="E54" i="2" s="1"/>
  <c r="AI55" i="2"/>
  <c r="E55" i="2" s="1"/>
  <c r="AI56" i="2"/>
  <c r="E56" i="2" s="1"/>
  <c r="AI57" i="2"/>
  <c r="E57" i="2" s="1"/>
  <c r="AI58" i="2"/>
  <c r="E58" i="2" s="1"/>
  <c r="AI59" i="2"/>
  <c r="E59" i="2" s="1"/>
  <c r="AI60" i="2"/>
  <c r="E60" i="2" s="1"/>
  <c r="AI61" i="2"/>
  <c r="E61" i="2" s="1"/>
  <c r="AI62" i="2"/>
  <c r="E62" i="2" s="1"/>
  <c r="AI63" i="2"/>
  <c r="E63" i="2" s="1"/>
  <c r="AI64" i="2"/>
  <c r="E64" i="2" s="1"/>
  <c r="AI46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CE28" i="2"/>
  <c r="CE29" i="2"/>
  <c r="CE30" i="2"/>
  <c r="CE31" i="2"/>
  <c r="CE32" i="2"/>
  <c r="CE33" i="2"/>
  <c r="CE34" i="2"/>
  <c r="CE35" i="2"/>
  <c r="CE36" i="2"/>
  <c r="CE37" i="2"/>
  <c r="CE38" i="2"/>
  <c r="CE39" i="2"/>
  <c r="CE40" i="2"/>
  <c r="CE41" i="2"/>
  <c r="CE42" i="2"/>
  <c r="CE26" i="2"/>
  <c r="BX28" i="2"/>
  <c r="BX29" i="2"/>
  <c r="BX30" i="2"/>
  <c r="BX31" i="2"/>
  <c r="BX32" i="2"/>
  <c r="BX33" i="2"/>
  <c r="BX34" i="2"/>
  <c r="BX35" i="2"/>
  <c r="BX36" i="2"/>
  <c r="BX37" i="2"/>
  <c r="BX38" i="2"/>
  <c r="BX39" i="2"/>
  <c r="BX40" i="2"/>
  <c r="BX41" i="2"/>
  <c r="BX42" i="2"/>
  <c r="BM28" i="2"/>
  <c r="I28" i="2" s="1"/>
  <c r="BM29" i="2"/>
  <c r="I29" i="2" s="1"/>
  <c r="BM30" i="2"/>
  <c r="I30" i="2" s="1"/>
  <c r="BM31" i="2"/>
  <c r="I31" i="2" s="1"/>
  <c r="BM32" i="2"/>
  <c r="I32" i="2" s="1"/>
  <c r="BM33" i="2"/>
  <c r="I33" i="2" s="1"/>
  <c r="BM34" i="2"/>
  <c r="I34" i="2" s="1"/>
  <c r="BM35" i="2"/>
  <c r="I35" i="2" s="1"/>
  <c r="BM36" i="2"/>
  <c r="I36" i="2" s="1"/>
  <c r="BM37" i="2"/>
  <c r="I37" i="2" s="1"/>
  <c r="BM38" i="2"/>
  <c r="I38" i="2" s="1"/>
  <c r="BM39" i="2"/>
  <c r="I39" i="2" s="1"/>
  <c r="BM40" i="2"/>
  <c r="I40" i="2" s="1"/>
  <c r="BM41" i="2"/>
  <c r="I41" i="2" s="1"/>
  <c r="BM42" i="2"/>
  <c r="I42" i="2" s="1"/>
  <c r="BF28" i="2"/>
  <c r="BF29" i="2"/>
  <c r="BF30" i="2"/>
  <c r="BF31" i="2"/>
  <c r="BF32" i="2"/>
  <c r="BF33" i="2"/>
  <c r="BF34" i="2"/>
  <c r="BF35" i="2"/>
  <c r="BF36" i="2"/>
  <c r="BF37" i="2"/>
  <c r="BF38" i="2"/>
  <c r="BF39" i="2"/>
  <c r="BF40" i="2"/>
  <c r="BF41" i="2"/>
  <c r="BF42" i="2"/>
  <c r="AX28" i="2"/>
  <c r="G28" i="2" s="1"/>
  <c r="AX29" i="2"/>
  <c r="G29" i="2" s="1"/>
  <c r="AX30" i="2"/>
  <c r="G30" i="2" s="1"/>
  <c r="AX31" i="2"/>
  <c r="G31" i="2" s="1"/>
  <c r="AX32" i="2"/>
  <c r="G32" i="2" s="1"/>
  <c r="AX33" i="2"/>
  <c r="G33" i="2" s="1"/>
  <c r="AX34" i="2"/>
  <c r="G34" i="2" s="1"/>
  <c r="AX35" i="2"/>
  <c r="G35" i="2" s="1"/>
  <c r="AX36" i="2"/>
  <c r="G36" i="2" s="1"/>
  <c r="AX37" i="2"/>
  <c r="G37" i="2" s="1"/>
  <c r="AX38" i="2"/>
  <c r="G38" i="2" s="1"/>
  <c r="AX39" i="2"/>
  <c r="G39" i="2" s="1"/>
  <c r="AX40" i="2"/>
  <c r="G40" i="2" s="1"/>
  <c r="AX41" i="2"/>
  <c r="G41" i="2" s="1"/>
  <c r="AX42" i="2"/>
  <c r="G42" i="2" s="1"/>
  <c r="AN28" i="2"/>
  <c r="F28" i="2" s="1"/>
  <c r="AN29" i="2"/>
  <c r="F29" i="2" s="1"/>
  <c r="AN30" i="2"/>
  <c r="F30" i="2" s="1"/>
  <c r="AN31" i="2"/>
  <c r="F31" i="2" s="1"/>
  <c r="AN32" i="2"/>
  <c r="F32" i="2" s="1"/>
  <c r="AN33" i="2"/>
  <c r="F33" i="2" s="1"/>
  <c r="AN34" i="2"/>
  <c r="F34" i="2" s="1"/>
  <c r="AN35" i="2"/>
  <c r="F35" i="2" s="1"/>
  <c r="AN36" i="2"/>
  <c r="F36" i="2" s="1"/>
  <c r="AN37" i="2"/>
  <c r="F37" i="2" s="1"/>
  <c r="AN38" i="2"/>
  <c r="F38" i="2" s="1"/>
  <c r="AN39" i="2"/>
  <c r="F39" i="2" s="1"/>
  <c r="AN40" i="2"/>
  <c r="F40" i="2" s="1"/>
  <c r="AN41" i="2"/>
  <c r="F41" i="2" s="1"/>
  <c r="AN42" i="2"/>
  <c r="F42" i="2" s="1"/>
  <c r="AE28" i="2"/>
  <c r="E28" i="2" s="1"/>
  <c r="AE29" i="2"/>
  <c r="E29" i="2" s="1"/>
  <c r="AE30" i="2"/>
  <c r="E30" i="2" s="1"/>
  <c r="AE31" i="2"/>
  <c r="E31" i="2" s="1"/>
  <c r="AE32" i="2"/>
  <c r="E32" i="2" s="1"/>
  <c r="AE33" i="2"/>
  <c r="E33" i="2" s="1"/>
  <c r="AE34" i="2"/>
  <c r="E34" i="2" s="1"/>
  <c r="AE35" i="2"/>
  <c r="E35" i="2" s="1"/>
  <c r="AE36" i="2"/>
  <c r="E36" i="2" s="1"/>
  <c r="AE37" i="2"/>
  <c r="E37" i="2" s="1"/>
  <c r="AE38" i="2"/>
  <c r="E38" i="2" s="1"/>
  <c r="AE39" i="2"/>
  <c r="E39" i="2" s="1"/>
  <c r="AE40" i="2"/>
  <c r="E40" i="2" s="1"/>
  <c r="AE41" i="2"/>
  <c r="E41" i="2" s="1"/>
  <c r="AE42" i="2"/>
  <c r="E42" i="2" s="1"/>
  <c r="Z28" i="2"/>
  <c r="Z29" i="2"/>
  <c r="D29" i="2" s="1"/>
  <c r="Z30" i="2"/>
  <c r="D30" i="2" s="1"/>
  <c r="Z31" i="2"/>
  <c r="D31" i="2" s="1"/>
  <c r="Z32" i="2"/>
  <c r="D32" i="2" s="1"/>
  <c r="Z33" i="2"/>
  <c r="D33" i="2" s="1"/>
  <c r="Z34" i="2"/>
  <c r="D34" i="2" s="1"/>
  <c r="Z35" i="2"/>
  <c r="D35" i="2" s="1"/>
  <c r="Z36" i="2"/>
  <c r="D36" i="2" s="1"/>
  <c r="Z37" i="2"/>
  <c r="D37" i="2" s="1"/>
  <c r="Z38" i="2"/>
  <c r="D38" i="2" s="1"/>
  <c r="Z39" i="2"/>
  <c r="D39" i="2" s="1"/>
  <c r="Z40" i="2"/>
  <c r="D40" i="2" s="1"/>
  <c r="Z41" i="2"/>
  <c r="D41" i="2" s="1"/>
  <c r="Z42" i="2"/>
  <c r="D42" i="2" s="1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R28" i="2"/>
  <c r="C28" i="2" s="1"/>
  <c r="E66" i="2" l="1"/>
  <c r="E44" i="2"/>
  <c r="F44" i="2"/>
  <c r="C44" i="2"/>
  <c r="I44" i="2"/>
  <c r="G44" i="2"/>
  <c r="C49" i="2"/>
  <c r="D49" i="2"/>
  <c r="L49" i="2"/>
  <c r="C50" i="2"/>
  <c r="D50" i="2"/>
  <c r="L50" i="2"/>
  <c r="C51" i="2"/>
  <c r="D51" i="2"/>
  <c r="L51" i="2"/>
  <c r="C52" i="2"/>
  <c r="D52" i="2"/>
  <c r="L52" i="2"/>
  <c r="C53" i="2"/>
  <c r="D53" i="2"/>
  <c r="L53" i="2"/>
  <c r="C54" i="2"/>
  <c r="D54" i="2"/>
  <c r="L54" i="2"/>
  <c r="C55" i="2"/>
  <c r="D55" i="2"/>
  <c r="L55" i="2"/>
  <c r="C56" i="2"/>
  <c r="D56" i="2"/>
  <c r="L56" i="2"/>
  <c r="C57" i="2"/>
  <c r="D57" i="2"/>
  <c r="L57" i="2"/>
  <c r="C58" i="2"/>
  <c r="D58" i="2"/>
  <c r="L58" i="2"/>
  <c r="C59" i="2"/>
  <c r="D59" i="2"/>
  <c r="L59" i="2"/>
  <c r="C60" i="2"/>
  <c r="D60" i="2"/>
  <c r="L60" i="2"/>
  <c r="C61" i="2"/>
  <c r="D61" i="2"/>
  <c r="L61" i="2"/>
  <c r="C62" i="2"/>
  <c r="D62" i="2"/>
  <c r="L62" i="2"/>
  <c r="C63" i="2"/>
  <c r="D63" i="2"/>
  <c r="L63" i="2"/>
  <c r="C64" i="2"/>
  <c r="D64" i="2"/>
  <c r="L64" i="2"/>
  <c r="L48" i="2"/>
  <c r="D48" i="2"/>
  <c r="C48" i="2"/>
  <c r="H31" i="2"/>
  <c r="J31" i="2"/>
  <c r="L31" i="2"/>
  <c r="H32" i="2"/>
  <c r="J32" i="2"/>
  <c r="L32" i="2"/>
  <c r="H33" i="2"/>
  <c r="J33" i="2"/>
  <c r="L33" i="2"/>
  <c r="H34" i="2"/>
  <c r="J34" i="2"/>
  <c r="L34" i="2"/>
  <c r="H35" i="2"/>
  <c r="J35" i="2"/>
  <c r="L35" i="2"/>
  <c r="H36" i="2"/>
  <c r="J36" i="2"/>
  <c r="L36" i="2"/>
  <c r="H37" i="2"/>
  <c r="J37" i="2"/>
  <c r="L37" i="2"/>
  <c r="H38" i="2"/>
  <c r="J38" i="2"/>
  <c r="L38" i="2"/>
  <c r="H39" i="2"/>
  <c r="J39" i="2"/>
  <c r="L39" i="2"/>
  <c r="H40" i="2"/>
  <c r="J40" i="2"/>
  <c r="L40" i="2"/>
  <c r="H41" i="2"/>
  <c r="J41" i="2"/>
  <c r="L41" i="2"/>
  <c r="H42" i="2"/>
  <c r="J42" i="2"/>
  <c r="L42" i="2"/>
  <c r="L30" i="2"/>
  <c r="J30" i="2"/>
  <c r="H30" i="2"/>
  <c r="L29" i="2"/>
  <c r="J29" i="2"/>
  <c r="H29" i="2"/>
  <c r="L28" i="2"/>
  <c r="J28" i="2"/>
  <c r="H28" i="2"/>
  <c r="D28" i="2"/>
  <c r="D44" i="2" s="1"/>
  <c r="G16" i="2"/>
  <c r="I13" i="2"/>
  <c r="CE6" i="2"/>
  <c r="L6" i="2" s="1"/>
  <c r="CE7" i="2"/>
  <c r="L7" i="2" s="1"/>
  <c r="CE8" i="2"/>
  <c r="L8" i="2" s="1"/>
  <c r="CE9" i="2"/>
  <c r="L9" i="2" s="1"/>
  <c r="CE10" i="2"/>
  <c r="L10" i="2" s="1"/>
  <c r="CE11" i="2"/>
  <c r="L11" i="2" s="1"/>
  <c r="CE12" i="2"/>
  <c r="L12" i="2" s="1"/>
  <c r="CE13" i="2"/>
  <c r="L13" i="2" s="1"/>
  <c r="CE14" i="2"/>
  <c r="L14" i="2" s="1"/>
  <c r="CE15" i="2"/>
  <c r="L15" i="2" s="1"/>
  <c r="CE16" i="2"/>
  <c r="L16" i="2" s="1"/>
  <c r="CE17" i="2"/>
  <c r="L17" i="2" s="1"/>
  <c r="CE18" i="2"/>
  <c r="L18" i="2" s="1"/>
  <c r="CE19" i="2"/>
  <c r="L19" i="2" s="1"/>
  <c r="CE20" i="2"/>
  <c r="L20" i="2" s="1"/>
  <c r="CE21" i="2"/>
  <c r="L21" i="2" s="1"/>
  <c r="CE22" i="2"/>
  <c r="L22" i="2" s="1"/>
  <c r="BW6" i="2"/>
  <c r="K6" i="2" s="1"/>
  <c r="BW7" i="2"/>
  <c r="K7" i="2" s="1"/>
  <c r="BW8" i="2"/>
  <c r="K8" i="2" s="1"/>
  <c r="BW9" i="2"/>
  <c r="K9" i="2" s="1"/>
  <c r="BW10" i="2"/>
  <c r="K10" i="2" s="1"/>
  <c r="BW11" i="2"/>
  <c r="K11" i="2" s="1"/>
  <c r="BW12" i="2"/>
  <c r="K12" i="2" s="1"/>
  <c r="BW13" i="2"/>
  <c r="K13" i="2" s="1"/>
  <c r="BW14" i="2"/>
  <c r="K14" i="2" s="1"/>
  <c r="BW15" i="2"/>
  <c r="K15" i="2" s="1"/>
  <c r="BW16" i="2"/>
  <c r="K16" i="2" s="1"/>
  <c r="BW17" i="2"/>
  <c r="K17" i="2" s="1"/>
  <c r="BW18" i="2"/>
  <c r="K18" i="2" s="1"/>
  <c r="BW19" i="2"/>
  <c r="K19" i="2" s="1"/>
  <c r="BW20" i="2"/>
  <c r="K20" i="2" s="1"/>
  <c r="BW21" i="2"/>
  <c r="K21" i="2" s="1"/>
  <c r="BW22" i="2"/>
  <c r="K22" i="2" s="1"/>
  <c r="BQ6" i="2"/>
  <c r="J6" i="2" s="1"/>
  <c r="BQ7" i="2"/>
  <c r="J7" i="2" s="1"/>
  <c r="BQ8" i="2"/>
  <c r="J8" i="2" s="1"/>
  <c r="BQ9" i="2"/>
  <c r="J9" i="2" s="1"/>
  <c r="BQ10" i="2"/>
  <c r="J10" i="2" s="1"/>
  <c r="BQ11" i="2"/>
  <c r="J11" i="2" s="1"/>
  <c r="BQ12" i="2"/>
  <c r="J12" i="2" s="1"/>
  <c r="BQ13" i="2"/>
  <c r="J13" i="2" s="1"/>
  <c r="BQ14" i="2"/>
  <c r="J14" i="2" s="1"/>
  <c r="BQ15" i="2"/>
  <c r="J15" i="2" s="1"/>
  <c r="BQ16" i="2"/>
  <c r="J16" i="2" s="1"/>
  <c r="BQ17" i="2"/>
  <c r="J17" i="2" s="1"/>
  <c r="BQ18" i="2"/>
  <c r="J18" i="2" s="1"/>
  <c r="BQ19" i="2"/>
  <c r="J19" i="2" s="1"/>
  <c r="BQ20" i="2"/>
  <c r="J20" i="2" s="1"/>
  <c r="BQ21" i="2"/>
  <c r="J21" i="2" s="1"/>
  <c r="BQ22" i="2"/>
  <c r="J22" i="2" s="1"/>
  <c r="BN6" i="2"/>
  <c r="I6" i="2" s="1"/>
  <c r="BN7" i="2"/>
  <c r="I7" i="2" s="1"/>
  <c r="BN8" i="2"/>
  <c r="I8" i="2" s="1"/>
  <c r="BN9" i="2"/>
  <c r="I9" i="2" s="1"/>
  <c r="BN10" i="2"/>
  <c r="I10" i="2" s="1"/>
  <c r="BN11" i="2"/>
  <c r="I11" i="2" s="1"/>
  <c r="BN12" i="2"/>
  <c r="I12" i="2" s="1"/>
  <c r="BN13" i="2"/>
  <c r="BN14" i="2"/>
  <c r="I14" i="2" s="1"/>
  <c r="BN15" i="2"/>
  <c r="I15" i="2" s="1"/>
  <c r="BN16" i="2"/>
  <c r="I16" i="2" s="1"/>
  <c r="BN17" i="2"/>
  <c r="I17" i="2" s="1"/>
  <c r="BN18" i="2"/>
  <c r="I18" i="2" s="1"/>
  <c r="BN19" i="2"/>
  <c r="I19" i="2" s="1"/>
  <c r="BN20" i="2"/>
  <c r="I20" i="2" s="1"/>
  <c r="BN21" i="2"/>
  <c r="I21" i="2" s="1"/>
  <c r="BN22" i="2"/>
  <c r="I22" i="2" s="1"/>
  <c r="BF6" i="2"/>
  <c r="H6" i="2" s="1"/>
  <c r="BF7" i="2"/>
  <c r="H7" i="2" s="1"/>
  <c r="BF8" i="2"/>
  <c r="H8" i="2" s="1"/>
  <c r="BF9" i="2"/>
  <c r="H9" i="2" s="1"/>
  <c r="BF10" i="2"/>
  <c r="H10" i="2" s="1"/>
  <c r="BF11" i="2"/>
  <c r="H11" i="2" s="1"/>
  <c r="BF12" i="2"/>
  <c r="H12" i="2" s="1"/>
  <c r="BF13" i="2"/>
  <c r="H13" i="2" s="1"/>
  <c r="BF14" i="2"/>
  <c r="H14" i="2" s="1"/>
  <c r="BF15" i="2"/>
  <c r="H15" i="2" s="1"/>
  <c r="BF16" i="2"/>
  <c r="H16" i="2" s="1"/>
  <c r="BF17" i="2"/>
  <c r="H17" i="2" s="1"/>
  <c r="BF18" i="2"/>
  <c r="H18" i="2" s="1"/>
  <c r="BF19" i="2"/>
  <c r="H19" i="2" s="1"/>
  <c r="BF20" i="2"/>
  <c r="H20" i="2" s="1"/>
  <c r="BF21" i="2"/>
  <c r="H21" i="2" s="1"/>
  <c r="BF22" i="2"/>
  <c r="H22" i="2" s="1"/>
  <c r="AY12" i="2"/>
  <c r="G12" i="2" s="1"/>
  <c r="AY13" i="2"/>
  <c r="G13" i="2" s="1"/>
  <c r="AY14" i="2"/>
  <c r="G14" i="2" s="1"/>
  <c r="AY15" i="2"/>
  <c r="G15" i="2" s="1"/>
  <c r="AY16" i="2"/>
  <c r="AY17" i="2"/>
  <c r="G17" i="2" s="1"/>
  <c r="AY18" i="2"/>
  <c r="G18" i="2" s="1"/>
  <c r="AY19" i="2"/>
  <c r="G19" i="2" s="1"/>
  <c r="AY20" i="2"/>
  <c r="G20" i="2" s="1"/>
  <c r="AY21" i="2"/>
  <c r="G21" i="2" s="1"/>
  <c r="AY22" i="2"/>
  <c r="G22" i="2" s="1"/>
  <c r="AY6" i="2"/>
  <c r="G6" i="2" s="1"/>
  <c r="AY7" i="2"/>
  <c r="G7" i="2" s="1"/>
  <c r="AY8" i="2"/>
  <c r="G8" i="2" s="1"/>
  <c r="AY9" i="2"/>
  <c r="G9" i="2" s="1"/>
  <c r="AY10" i="2"/>
  <c r="G10" i="2" s="1"/>
  <c r="AY11" i="2"/>
  <c r="G11" i="2" s="1"/>
  <c r="AO6" i="2"/>
  <c r="F6" i="2" s="1"/>
  <c r="AO7" i="2"/>
  <c r="F7" i="2" s="1"/>
  <c r="AO8" i="2"/>
  <c r="F8" i="2" s="1"/>
  <c r="AO9" i="2"/>
  <c r="F9" i="2" s="1"/>
  <c r="AO10" i="2"/>
  <c r="F10" i="2" s="1"/>
  <c r="AO11" i="2"/>
  <c r="F11" i="2" s="1"/>
  <c r="AO12" i="2"/>
  <c r="F12" i="2" s="1"/>
  <c r="AO13" i="2"/>
  <c r="F13" i="2" s="1"/>
  <c r="AO14" i="2"/>
  <c r="F14" i="2" s="1"/>
  <c r="AO15" i="2"/>
  <c r="F15" i="2" s="1"/>
  <c r="AO16" i="2"/>
  <c r="F16" i="2" s="1"/>
  <c r="AO17" i="2"/>
  <c r="F17" i="2" s="1"/>
  <c r="AO18" i="2"/>
  <c r="F18" i="2" s="1"/>
  <c r="AO19" i="2"/>
  <c r="F19" i="2" s="1"/>
  <c r="AO20" i="2"/>
  <c r="F20" i="2" s="1"/>
  <c r="AO21" i="2"/>
  <c r="F21" i="2" s="1"/>
  <c r="AO22" i="2"/>
  <c r="F22" i="2" s="1"/>
  <c r="AH6" i="2"/>
  <c r="E6" i="2" s="1"/>
  <c r="AH7" i="2"/>
  <c r="E7" i="2" s="1"/>
  <c r="AH8" i="2"/>
  <c r="E8" i="2" s="1"/>
  <c r="AH9" i="2"/>
  <c r="E9" i="2" s="1"/>
  <c r="AH10" i="2"/>
  <c r="E10" i="2" s="1"/>
  <c r="AH11" i="2"/>
  <c r="E11" i="2" s="1"/>
  <c r="AH12" i="2"/>
  <c r="E12" i="2" s="1"/>
  <c r="AH13" i="2"/>
  <c r="E13" i="2" s="1"/>
  <c r="AH14" i="2"/>
  <c r="E14" i="2" s="1"/>
  <c r="AH15" i="2"/>
  <c r="E15" i="2" s="1"/>
  <c r="AH16" i="2"/>
  <c r="E16" i="2" s="1"/>
  <c r="AH17" i="2"/>
  <c r="E17" i="2" s="1"/>
  <c r="AH18" i="2"/>
  <c r="E18" i="2" s="1"/>
  <c r="AH19" i="2"/>
  <c r="E19" i="2" s="1"/>
  <c r="AH20" i="2"/>
  <c r="E20" i="2" s="1"/>
  <c r="AH21" i="2"/>
  <c r="E21" i="2" s="1"/>
  <c r="AH22" i="2"/>
  <c r="E22" i="2" s="1"/>
  <c r="Z6" i="2"/>
  <c r="D6" i="2" s="1"/>
  <c r="Z7" i="2"/>
  <c r="D7" i="2" s="1"/>
  <c r="Z8" i="2"/>
  <c r="D8" i="2" s="1"/>
  <c r="Z9" i="2"/>
  <c r="D9" i="2" s="1"/>
  <c r="Z10" i="2"/>
  <c r="D10" i="2" s="1"/>
  <c r="Z11" i="2"/>
  <c r="D11" i="2" s="1"/>
  <c r="Z12" i="2"/>
  <c r="D12" i="2" s="1"/>
  <c r="Z13" i="2"/>
  <c r="D13" i="2" s="1"/>
  <c r="Z14" i="2"/>
  <c r="D14" i="2" s="1"/>
  <c r="Z15" i="2"/>
  <c r="D15" i="2" s="1"/>
  <c r="Z16" i="2"/>
  <c r="D16" i="2" s="1"/>
  <c r="Z17" i="2"/>
  <c r="D17" i="2" s="1"/>
  <c r="Z18" i="2"/>
  <c r="D18" i="2" s="1"/>
  <c r="Z19" i="2"/>
  <c r="D19" i="2" s="1"/>
  <c r="Z20" i="2"/>
  <c r="D20" i="2" s="1"/>
  <c r="Z21" i="2"/>
  <c r="D21" i="2" s="1"/>
  <c r="Z22" i="2"/>
  <c r="D22" i="2" s="1"/>
  <c r="S6" i="2"/>
  <c r="C6" i="2" s="1"/>
  <c r="S7" i="2"/>
  <c r="C7" i="2" s="1"/>
  <c r="S8" i="2"/>
  <c r="C8" i="2" s="1"/>
  <c r="S9" i="2"/>
  <c r="C9" i="2" s="1"/>
  <c r="S10" i="2"/>
  <c r="C10" i="2" s="1"/>
  <c r="S11" i="2"/>
  <c r="C11" i="2" s="1"/>
  <c r="S12" i="2"/>
  <c r="C12" i="2" s="1"/>
  <c r="S13" i="2"/>
  <c r="C13" i="2" s="1"/>
  <c r="S14" i="2"/>
  <c r="C14" i="2" s="1"/>
  <c r="S15" i="2"/>
  <c r="C15" i="2" s="1"/>
  <c r="S16" i="2"/>
  <c r="C16" i="2" s="1"/>
  <c r="S17" i="2"/>
  <c r="C17" i="2" s="1"/>
  <c r="S18" i="2"/>
  <c r="C18" i="2" s="1"/>
  <c r="S19" i="2"/>
  <c r="C19" i="2" s="1"/>
  <c r="S20" i="2"/>
  <c r="C20" i="2" s="1"/>
  <c r="S21" i="2"/>
  <c r="C21" i="2" s="1"/>
  <c r="S22" i="2"/>
  <c r="C22" i="2" s="1"/>
  <c r="S4" i="2"/>
  <c r="Z46" i="2"/>
  <c r="S46" i="2"/>
  <c r="BX26" i="2"/>
  <c r="BM26" i="2"/>
  <c r="BF26" i="2"/>
  <c r="AX26" i="2"/>
  <c r="AN26" i="2"/>
  <c r="AE26" i="2"/>
  <c r="Z26" i="2"/>
  <c r="R26" i="2"/>
  <c r="CE4" i="2"/>
  <c r="BW4" i="2"/>
  <c r="BQ4" i="2"/>
  <c r="BN4" i="2"/>
  <c r="BF4" i="2"/>
  <c r="AY4" i="2"/>
  <c r="AO4" i="2"/>
  <c r="AH4" i="2"/>
  <c r="Z4" i="2"/>
  <c r="C66" i="2" l="1"/>
  <c r="D66" i="2"/>
  <c r="K66" i="2"/>
  <c r="L66" i="2"/>
  <c r="J66" i="2"/>
  <c r="B48" i="2"/>
  <c r="G24" i="2"/>
  <c r="L24" i="2"/>
  <c r="H44" i="2"/>
  <c r="D24" i="2"/>
  <c r="J44" i="2"/>
  <c r="E24" i="2"/>
  <c r="F24" i="2"/>
  <c r="L44" i="2"/>
  <c r="C24" i="2"/>
  <c r="H24" i="2"/>
  <c r="I24" i="2"/>
  <c r="J24" i="2"/>
  <c r="K24" i="2"/>
  <c r="B60" i="2"/>
  <c r="K44" i="2"/>
  <c r="B33" i="2"/>
  <c r="B41" i="2"/>
  <c r="B30" i="2"/>
  <c r="B20" i="2"/>
  <c r="B58" i="2"/>
  <c r="B61" i="2"/>
  <c r="B28" i="2"/>
  <c r="B59" i="2"/>
  <c r="B51" i="2"/>
  <c r="B29" i="2"/>
  <c r="B63" i="2"/>
  <c r="B53" i="2"/>
  <c r="B55" i="2"/>
  <c r="B56" i="2"/>
  <c r="B50" i="2"/>
  <c r="B64" i="2"/>
  <c r="B62" i="2"/>
  <c r="B54" i="2"/>
  <c r="B57" i="2"/>
  <c r="B49" i="2"/>
  <c r="B40" i="2"/>
  <c r="B37" i="2"/>
  <c r="B32" i="2"/>
  <c r="B36" i="2"/>
  <c r="B39" i="2"/>
  <c r="B34" i="2"/>
  <c r="B42" i="2"/>
  <c r="B31" i="2"/>
  <c r="B35" i="2"/>
  <c r="B38" i="2"/>
  <c r="B52" i="2"/>
  <c r="B19" i="2"/>
  <c r="B11" i="2"/>
  <c r="B7" i="2"/>
  <c r="B18" i="2"/>
  <c r="B22" i="2"/>
  <c r="B14" i="2"/>
  <c r="B6" i="2"/>
  <c r="B12" i="2"/>
  <c r="B13" i="2"/>
  <c r="B10" i="2"/>
  <c r="B16" i="2"/>
  <c r="B17" i="2"/>
  <c r="B21" i="2"/>
  <c r="B8" i="2"/>
  <c r="B9" i="2"/>
  <c r="B15" i="2"/>
  <c r="B23" i="2" l="1"/>
  <c r="B43" i="2"/>
  <c r="B44" i="2" s="1"/>
  <c r="B66" i="2"/>
  <c r="B24" i="2"/>
</calcChain>
</file>

<file path=xl/sharedStrings.xml><?xml version="1.0" encoding="utf-8"?>
<sst xmlns="http://schemas.openxmlformats.org/spreadsheetml/2006/main" count="455" uniqueCount="219">
  <si>
    <t>Tue</t>
  </si>
  <si>
    <t>Session 1 (6:30-7:55 pm)</t>
  </si>
  <si>
    <t>Session 2 (7:55-9:20)</t>
  </si>
  <si>
    <t>Marquez, Rocelia</t>
  </si>
  <si>
    <t>Garcia, Sabrina</t>
  </si>
  <si>
    <t>Pyle, Matthew</t>
  </si>
  <si>
    <t>San Roman, Jesus</t>
  </si>
  <si>
    <t>Rodriguez, Madison</t>
  </si>
  <si>
    <t>Ceballos, Ariel</t>
  </si>
  <si>
    <t>Morgan, Steven</t>
  </si>
  <si>
    <t>Andrade, Antonio</t>
  </si>
  <si>
    <t>Fang, Pa</t>
  </si>
  <si>
    <t>Zavala, Nia</t>
  </si>
  <si>
    <t>Castro, Socorro</t>
  </si>
  <si>
    <t>Vargas, Lisa</t>
  </si>
  <si>
    <t>Garcia, Andres</t>
  </si>
  <si>
    <t>Parada, Jennifer</t>
  </si>
  <si>
    <t>Martinez, Vanessa</t>
  </si>
  <si>
    <t>Perales, April</t>
  </si>
  <si>
    <t>Hernan, Jazmine</t>
  </si>
  <si>
    <t>Aquino, Hailey</t>
  </si>
  <si>
    <t>Esparza, Beatrice</t>
  </si>
  <si>
    <t>Sarkisyan, Rita</t>
  </si>
  <si>
    <t>Pedroza, Serena</t>
  </si>
  <si>
    <t>Tacadena, Elle</t>
  </si>
  <si>
    <t>Santos, Madison</t>
  </si>
  <si>
    <t>Wright, Rebecca</t>
  </si>
  <si>
    <t>Rodriguez, Ericke</t>
  </si>
  <si>
    <t>Jimenez Merino, Oscar</t>
  </si>
  <si>
    <t>Ross, Derick</t>
  </si>
  <si>
    <t>Negrete, Miguel</t>
  </si>
  <si>
    <t>Maravilla Martinez, Rogelio</t>
  </si>
  <si>
    <t>Hernandez Salcedo, Belen</t>
  </si>
  <si>
    <t>Corea, Kristie</t>
  </si>
  <si>
    <t>Xiong, Wendy</t>
  </si>
  <si>
    <t>Nounvilaythong, Samaria</t>
  </si>
  <si>
    <t>Musso, Isabella</t>
  </si>
  <si>
    <t>Arellano Cruz, Ashley</t>
  </si>
  <si>
    <t>Cuevas Romero, Ana</t>
  </si>
  <si>
    <t>Pascale, Teah</t>
  </si>
  <si>
    <t>Olea, Joscelyne</t>
  </si>
  <si>
    <t>Gamez, Sergio</t>
  </si>
  <si>
    <t>Khan, Hamza</t>
  </si>
  <si>
    <t>Munoz Cisneros, Evelyn</t>
  </si>
  <si>
    <t>Garcia-Hernandez, Allison</t>
  </si>
  <si>
    <t>Bryant, Tajanique</t>
  </si>
  <si>
    <t>Snell, Tricia</t>
  </si>
  <si>
    <t>Her, Kangbao</t>
  </si>
  <si>
    <t>Lopez, Jovina</t>
  </si>
  <si>
    <t>Garcia, Jovanna</t>
  </si>
  <si>
    <t>Sandoval, Emily</t>
  </si>
  <si>
    <t>Moua, Haley</t>
  </si>
  <si>
    <t>Hernandez, Arriel</t>
  </si>
  <si>
    <t>Becerril, Destiny</t>
  </si>
  <si>
    <t>Thu</t>
  </si>
  <si>
    <t>Landeros, Hidai</t>
  </si>
  <si>
    <t>McGill, Abigail</t>
  </si>
  <si>
    <t>Garza, Liliana</t>
  </si>
  <si>
    <t>Station</t>
  </si>
  <si>
    <t>Dens=m/V</t>
  </si>
  <si>
    <t>Dens Unt</t>
  </si>
  <si>
    <t>4 sig dig</t>
  </si>
  <si>
    <t>Tot</t>
  </si>
  <si>
    <t>% yield formula</t>
  </si>
  <si>
    <t>Act/Theo masses matched</t>
  </si>
  <si>
    <t>Time 100% (dec to %)</t>
  </si>
  <si>
    <t>4 sig digs</t>
  </si>
  <si>
    <t>Unit used % sign</t>
  </si>
  <si>
    <t>is reasonable?</t>
  </si>
  <si>
    <t>conv into mol Mg
(1 if attempted)</t>
  </si>
  <si>
    <t>conv to H2 (mol ratio use)</t>
  </si>
  <si>
    <t>conv to g H2 (1 if attempted)</t>
  </si>
  <si>
    <t>answer numerically correct</t>
  </si>
  <si>
    <t>answer unit in g</t>
  </si>
  <si>
    <t>sig digs = 4</t>
  </si>
  <si>
    <t>setup as 3 conversions in row</t>
  </si>
  <si>
    <t>Accuracy: Reasonable Value</t>
  </si>
  <si>
    <t>Prec to tenths place</t>
  </si>
  <si>
    <t>Unit is °C</t>
  </si>
  <si>
    <t>B</t>
  </si>
  <si>
    <t>A</t>
  </si>
  <si>
    <t>C</t>
  </si>
  <si>
    <t>Unit "cm" present</t>
  </si>
  <si>
    <t>2 short sides &amp; 1 long side recorded</t>
  </si>
  <si>
    <t>Precision: Recorded to hundreds place</t>
  </si>
  <si>
    <t>Accuracy: within 0.1 of key</t>
  </si>
  <si>
    <t>Product shown to get V</t>
  </si>
  <si>
    <t>3 sig dits</t>
  </si>
  <si>
    <t>unit "cm3" given</t>
  </si>
  <si>
    <t>tot</t>
  </si>
  <si>
    <t>white, milky cloudy observation</t>
  </si>
  <si>
    <t>Precip (give 1 for "DD")</t>
  </si>
  <si>
    <t>wrote reactants from bottles</t>
  </si>
  <si>
    <t>predicted formulas of products (-2 if one prod correct)</t>
  </si>
  <si>
    <t>balanced</t>
  </si>
  <si>
    <t>correct phases</t>
  </si>
  <si>
    <t>recorded any vol from buret</t>
  </si>
  <si>
    <t>unit shows "mL"</t>
  </si>
  <si>
    <t>Accuracy: with 0.1 true value</t>
  </si>
  <si>
    <t>Precision: to 0.01 mL</t>
  </si>
  <si>
    <t>subtracted 2 vols to get net added</t>
  </si>
  <si>
    <t>answer has 2 decimal places</t>
  </si>
  <si>
    <t>answer has 'mL' unit</t>
  </si>
  <si>
    <t>exact name, 3 if purpose/use wrong name, 2 part name match but no desc</t>
  </si>
  <si>
    <t>same as col 1</t>
  </si>
  <si>
    <t>Strategy: used C1V1=C2V2</t>
  </si>
  <si>
    <t>matched V1 and V2 correctly</t>
  </si>
  <si>
    <t>answer has "M" or "mol/L" unit</t>
  </si>
  <si>
    <t>answer has 4 sig dits</t>
  </si>
  <si>
    <t>2 re-wrote data provided</t>
  </si>
  <si>
    <t>identified mass of cmpd as "weighing2 but didn't use weighing 1</t>
  </si>
  <si>
    <t>subtracted 2 masses</t>
  </si>
  <si>
    <t>numerically correct mass of O</t>
  </si>
  <si>
    <t>answer has 4 decimal places</t>
  </si>
  <si>
    <t>answer has "g" unit</t>
  </si>
  <si>
    <t>Answer has 4 SF</t>
  </si>
  <si>
    <t>Reported answer with unit “%”</t>
  </si>
  <si>
    <t>Divide and multiply by 100 to get %m/v</t>
  </si>
  <si>
    <t>Identified Correct Volume</t>
  </si>
  <si>
    <t>Subtract to get mass of solute</t>
  </si>
  <si>
    <t>Recorded mass of full vial</t>
  </si>
  <si>
    <t>Recorded mass of empty vial</t>
  </si>
  <si>
    <t>Unit: Recorded mass(es) as “g”</t>
  </si>
  <si>
    <t>Subtracted two masses</t>
  </si>
  <si>
    <t>Sig Figs: Answer has 4 decimal places</t>
  </si>
  <si>
    <t>Noted that this is the “actual yield”</t>
  </si>
  <si>
    <t>Wrote down any volume of gas</t>
  </si>
  <si>
    <t>Precision: Recorded to hundredths place</t>
  </si>
  <si>
    <t>Unit: Recorded as “mL”</t>
  </si>
  <si>
    <t>Accuracy: within 0.2 mL of Instructor</t>
  </si>
  <si>
    <t>Observed temperature go down</t>
  </si>
  <si>
    <t>Conclusion of endo/exo consistent with observation</t>
  </si>
  <si>
    <t>Wrote down any length</t>
  </si>
  <si>
    <t>Unit: recorded “cm”</t>
  </si>
  <si>
    <t>showed work or described conversion to mm</t>
  </si>
  <si>
    <t>Correct conversion to mm</t>
  </si>
  <si>
    <t>Observations say “bubbles” or “gas”</t>
  </si>
  <si>
    <t>Gas Evolution or Acid/Base ( 1 if DD)</t>
  </si>
  <si>
    <t>Wrote reactants from bottles</t>
  </si>
  <si>
    <t>Predicted Chemical formulas of products (-2 if one product correct)</t>
  </si>
  <si>
    <t>Balanced</t>
  </si>
  <si>
    <t>Correct phases</t>
  </si>
  <si>
    <t>Found net volume of NaOH used</t>
  </si>
  <si>
    <t>Used molarity of NaOH to get mol NaOH</t>
  </si>
  <si>
    <t>Used molar ratio 1:3</t>
  </si>
  <si>
    <t>Divided by volume to get molarity</t>
  </si>
  <si>
    <t>Answer has units of M or mol/L</t>
  </si>
  <si>
    <t>Accuracy: Volume is within 0.3 of key</t>
  </si>
  <si>
    <t>Precision: Recorded to the correct precision for graduated cylinder in use.</t>
  </si>
  <si>
    <t>Unit: Reasonable value reported in mL</t>
  </si>
  <si>
    <t>Precision: Recorded to tenths place</t>
  </si>
  <si>
    <t>Unit: Reasonable value reported in ℃</t>
  </si>
  <si>
    <t>Identified Mass of O</t>
  </si>
  <si>
    <t>Identified Mass of compound</t>
  </si>
  <si>
    <t>Setup correct</t>
  </si>
  <si>
    <t>Converted decimal to percentage</t>
  </si>
  <si>
    <t>Answer reported to 4 SF</t>
  </si>
  <si>
    <t>Answer has % sign</t>
  </si>
  <si>
    <t>Exact Name Correct (spelling excused) Wrong name, described purpose/use Partial name match, no description (i.e. flask)</t>
  </si>
  <si>
    <t>Exact Name Correct (spelling excused) Wrong name, described purpose/use Partial name match, no description (i.e. Test Cylinder Tube)</t>
  </si>
  <si>
    <t>Converted from g to mol</t>
  </si>
  <si>
    <t>Converted mL to L</t>
  </si>
  <si>
    <t>Divided mol/L</t>
  </si>
  <si>
    <t>Numerically correct</t>
  </si>
  <si>
    <t>Answer has mol/L or M unit</t>
  </si>
  <si>
    <t>Recorded mass of Al foil</t>
  </si>
  <si>
    <t>Unit: mass has “g” unit</t>
  </si>
  <si>
    <t>converted g Al to mol Al</t>
  </si>
  <si>
    <t>Converted mol Al to mol Alum (mol ratio)</t>
  </si>
  <si>
    <t>Converted mol Alum to g Alum</t>
  </si>
  <si>
    <t>Answer has 4 SF and “g” unit</t>
  </si>
  <si>
    <t>Precision: temperature to tenths place</t>
  </si>
  <si>
    <t>Accuracy: Reasonable value (± 0.3 ℃ )</t>
  </si>
  <si>
    <t>Unit: Temperature unit noted as ℃</t>
  </si>
  <si>
    <t>Matched variables to equation correctly</t>
  </si>
  <si>
    <t>Answer has units of mmHg</t>
  </si>
  <si>
    <t>Used mass of solution in calculation</t>
  </si>
  <si>
    <t>Plugged in numbers correctly</t>
  </si>
  <si>
    <t>numerically correct</t>
  </si>
  <si>
    <t>Answer has 3 SF</t>
  </si>
  <si>
    <t>Answer has units of J or kJ</t>
  </si>
  <si>
    <t>Precision: Recorded volumes to tenths place</t>
  </si>
  <si>
    <t>Units: Recorded volumes with unit “mL”</t>
  </si>
  <si>
    <t>Subtracted two volumes</t>
  </si>
  <si>
    <t>Accuracy: Volume is between 6.9-7.7 mL</t>
  </si>
  <si>
    <t>Answer reported in mL</t>
  </si>
  <si>
    <t>Answer precise to same decimal as volumes</t>
  </si>
  <si>
    <t>Observations say white, milky, cloudy</t>
  </si>
  <si>
    <t>Precipitation ( 1 if DD)</t>
  </si>
  <si>
    <t>Read any volume off Buret</t>
  </si>
  <si>
    <t>Accuracy: Recorded within 0.1 mL of key</t>
  </si>
  <si>
    <t>Unit: Answer reported in mL</t>
  </si>
  <si>
    <t>Accuracy: Within 0.05 of key</t>
  </si>
  <si>
    <t>Precision: Recorded to hundredths</t>
  </si>
  <si>
    <t>Unit: Unit reported as “cm”</t>
  </si>
  <si>
    <t>Identified Mass of Mg</t>
  </si>
  <si>
    <t>Exact Name Correct (spelling excused) Wrong name, described purpose/use Partial name match, no description (i.e. Clock glass)</t>
  </si>
  <si>
    <t>Exact Name Correct (spelling excused) 3 - Wrong name, described purpose/use Partial name match, no description (i.e. Pipet)</t>
  </si>
  <si>
    <t>Precision: mass has 4 decimals</t>
  </si>
  <si>
    <t>Unit: has "g" unit</t>
  </si>
  <si>
    <t>Acc: Mass of solution obtained is between +/- 0.1 g of expected/average</t>
  </si>
  <si>
    <t>Total</t>
  </si>
  <si>
    <t>mean</t>
  </si>
  <si>
    <t>Alum
2</t>
  </si>
  <si>
    <t>CA
7</t>
  </si>
  <si>
    <t>n</t>
  </si>
  <si>
    <t>Recorded Ptotal</t>
  </si>
  <si>
    <t>Recorded VP of H2O for this temp recorded</t>
  </si>
  <si>
    <t>std dev</t>
  </si>
  <si>
    <t>median</t>
  </si>
  <si>
    <t>count</t>
  </si>
  <si>
    <t>high</t>
  </si>
  <si>
    <t>low</t>
  </si>
  <si>
    <t>excellent</t>
  </si>
  <si>
    <t>above average</t>
  </si>
  <si>
    <t>please try harder</t>
  </si>
  <si>
    <t>a bit more effort please</t>
  </si>
  <si>
    <t>ok</t>
  </si>
  <si>
    <t>below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</si>
</sst>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rgb="FFFEC6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3" fillId="2" borderId="0" xfId="0" applyFont="1" applyFill="1"/>
    <xf numFmtId="0" fontId="3" fillId="3" borderId="0" xfId="0" applyFont="1" applyFill="1"/>
    <xf numFmtId="0" fontId="4" fillId="0" borderId="0" xfId="0" applyFont="1" applyAlignment="1">
      <alignment horizont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7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/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6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9" fillId="0" borderId="0" xfId="0" applyFont="1"/>
    <xf numFmtId="0" fontId="1" fillId="0" borderId="0" xfId="0" applyFont="1" applyAlignment="1">
      <alignment horizontal="right"/>
    </xf>
    <xf numFmtId="164" fontId="3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4" fontId="1" fillId="0" borderId="0" xfId="0" applyNumberFormat="1" applyFont="1"/>
    <xf numFmtId="0" fontId="0" fillId="0" borderId="0" xfId="0" applyAlignment="1">
      <alignment horizontal="right"/>
    </xf>
    <xf numFmtId="164" fontId="1" fillId="0" borderId="0" xfId="0" applyNumberFormat="1" applyFont="1" applyAlignme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C6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79"/>
  <sheetViews>
    <sheetView topLeftCell="C1" workbookViewId="0">
      <selection activeCell="G1" sqref="G1:BV65"/>
    </sheetView>
  </sheetViews>
  <sheetFormatPr defaultRowHeight="15" x14ac:dyDescent="0.25"/>
  <cols>
    <col min="1" max="1" width="4.140625" customWidth="1"/>
    <col min="2" max="3" width="30.42578125" customWidth="1"/>
    <col min="4" max="4" width="6" customWidth="1"/>
    <col min="5" max="5" width="33.28515625" customWidth="1"/>
    <col min="6" max="6" width="8.85546875" customWidth="1"/>
    <col min="7" max="7" width="27.7109375" customWidth="1"/>
    <col min="8" max="8" width="7.85546875" customWidth="1"/>
    <col min="9" max="9" width="9.5703125" customWidth="1"/>
    <col min="10" max="11" width="7.140625" customWidth="1"/>
    <col min="12" max="12" width="11.7109375" customWidth="1"/>
    <col min="15" max="15" width="6.5703125" customWidth="1"/>
    <col min="16" max="16" width="8.42578125" customWidth="1"/>
    <col min="19" max="19" width="4.85546875" customWidth="1"/>
    <col min="21" max="21" width="11.85546875" customWidth="1"/>
    <col min="22" max="22" width="6.5703125" customWidth="1"/>
    <col min="23" max="23" width="11.5703125" customWidth="1"/>
    <col min="25" max="25" width="11.140625" customWidth="1"/>
    <col min="26" max="26" width="11.85546875" customWidth="1"/>
    <col min="29" max="29" width="10.42578125" customWidth="1"/>
    <col min="30" max="30" width="7.42578125" customWidth="1"/>
    <col min="34" max="34" width="8" customWidth="1"/>
    <col min="37" max="37" width="11.5703125" customWidth="1"/>
    <col min="42" max="42" width="5.85546875" customWidth="1"/>
    <col min="71" max="71" width="11.85546875" customWidth="1"/>
    <col min="73" max="73" width="7.85546875" customWidth="1"/>
  </cols>
  <sheetData>
    <row r="1" spans="1:6" ht="18.75" x14ac:dyDescent="0.3">
      <c r="B1" s="2" t="s">
        <v>0</v>
      </c>
      <c r="C1" s="2"/>
    </row>
    <row r="2" spans="1:6" ht="18.75" x14ac:dyDescent="0.3">
      <c r="B2" s="2" t="s">
        <v>1</v>
      </c>
      <c r="C2" s="2" t="s">
        <v>2</v>
      </c>
    </row>
    <row r="3" spans="1:6" s="8" customFormat="1" ht="15.75" x14ac:dyDescent="0.25">
      <c r="A3" s="8">
        <v>1</v>
      </c>
      <c r="B3" s="9" t="s">
        <v>3</v>
      </c>
      <c r="C3" s="9" t="s">
        <v>25</v>
      </c>
    </row>
    <row r="4" spans="1:6" ht="15.75" x14ac:dyDescent="0.25">
      <c r="A4">
        <v>2</v>
      </c>
      <c r="B4" s="4" t="s">
        <v>4</v>
      </c>
      <c r="C4" s="4" t="s">
        <v>26</v>
      </c>
      <c r="E4" s="8"/>
      <c r="F4" s="8"/>
    </row>
    <row r="5" spans="1:6" ht="15.75" x14ac:dyDescent="0.25">
      <c r="A5">
        <v>3</v>
      </c>
      <c r="B5" s="4" t="s">
        <v>5</v>
      </c>
      <c r="C5" s="4" t="s">
        <v>29</v>
      </c>
      <c r="E5" s="8"/>
      <c r="F5" s="8"/>
    </row>
    <row r="6" spans="1:6" ht="15.75" x14ac:dyDescent="0.25">
      <c r="A6">
        <v>4</v>
      </c>
      <c r="B6" s="4" t="s">
        <v>8</v>
      </c>
      <c r="C6" s="4" t="s">
        <v>51</v>
      </c>
      <c r="E6" s="8"/>
      <c r="F6" s="8"/>
    </row>
    <row r="7" spans="1:6" ht="15.75" x14ac:dyDescent="0.25">
      <c r="A7">
        <v>5</v>
      </c>
      <c r="B7" s="4" t="s">
        <v>10</v>
      </c>
      <c r="C7" s="4" t="s">
        <v>33</v>
      </c>
      <c r="E7" s="8"/>
      <c r="F7" s="8"/>
    </row>
    <row r="8" spans="1:6" ht="15.75" x14ac:dyDescent="0.25">
      <c r="A8">
        <v>6</v>
      </c>
      <c r="B8" s="4" t="s">
        <v>11</v>
      </c>
      <c r="C8" s="4" t="s">
        <v>35</v>
      </c>
      <c r="E8" s="8"/>
      <c r="F8" s="8"/>
    </row>
    <row r="9" spans="1:6" ht="15.75" x14ac:dyDescent="0.25">
      <c r="A9">
        <v>7</v>
      </c>
      <c r="B9" s="4" t="s">
        <v>14</v>
      </c>
      <c r="C9" s="4" t="s">
        <v>50</v>
      </c>
      <c r="E9" s="8"/>
      <c r="F9" s="8"/>
    </row>
    <row r="10" spans="1:6" ht="15.75" x14ac:dyDescent="0.25">
      <c r="A10">
        <v>8</v>
      </c>
      <c r="B10" s="4" t="s">
        <v>15</v>
      </c>
      <c r="C10" s="4" t="s">
        <v>38</v>
      </c>
      <c r="E10" s="8"/>
      <c r="F10" s="8"/>
    </row>
    <row r="11" spans="1:6" ht="15.75" x14ac:dyDescent="0.25">
      <c r="A11">
        <v>9</v>
      </c>
      <c r="B11" s="4" t="s">
        <v>19</v>
      </c>
      <c r="C11" s="4" t="s">
        <v>48</v>
      </c>
      <c r="E11" s="8"/>
      <c r="F11" s="8"/>
    </row>
    <row r="12" spans="1:6" ht="15.75" x14ac:dyDescent="0.25">
      <c r="A12">
        <v>10</v>
      </c>
      <c r="B12" s="4" t="s">
        <v>20</v>
      </c>
      <c r="C12" s="4" t="s">
        <v>39</v>
      </c>
      <c r="E12" s="8"/>
      <c r="F12" s="8"/>
    </row>
    <row r="13" spans="1:6" ht="15.75" x14ac:dyDescent="0.25">
      <c r="A13">
        <v>11</v>
      </c>
      <c r="B13" s="4" t="s">
        <v>21</v>
      </c>
      <c r="C13" s="4" t="s">
        <v>40</v>
      </c>
      <c r="E13" s="8"/>
      <c r="F13" s="8"/>
    </row>
    <row r="14" spans="1:6" ht="15.75" x14ac:dyDescent="0.25">
      <c r="A14">
        <v>12</v>
      </c>
      <c r="B14" s="4" t="s">
        <v>22</v>
      </c>
      <c r="C14" s="4" t="s">
        <v>41</v>
      </c>
      <c r="E14" s="8"/>
    </row>
    <row r="15" spans="1:6" ht="15.75" x14ac:dyDescent="0.25">
      <c r="A15">
        <v>13</v>
      </c>
      <c r="B15" s="4" t="s">
        <v>23</v>
      </c>
      <c r="C15" s="4" t="s">
        <v>43</v>
      </c>
    </row>
    <row r="16" spans="1:6" ht="15.75" x14ac:dyDescent="0.25">
      <c r="A16">
        <v>14</v>
      </c>
      <c r="B16" s="4" t="s">
        <v>24</v>
      </c>
      <c r="C16" s="4" t="s">
        <v>46</v>
      </c>
      <c r="E16" s="5" t="s">
        <v>10</v>
      </c>
      <c r="F16" t="s">
        <v>81</v>
      </c>
    </row>
    <row r="17" spans="1:81" ht="18.75" x14ac:dyDescent="0.3">
      <c r="B17" s="2" t="s">
        <v>54</v>
      </c>
      <c r="C17" s="2"/>
      <c r="E17" s="5" t="s">
        <v>20</v>
      </c>
      <c r="F17" t="s">
        <v>81</v>
      </c>
    </row>
    <row r="18" spans="1:81" ht="18.75" x14ac:dyDescent="0.3">
      <c r="B18" s="2" t="s">
        <v>1</v>
      </c>
      <c r="C18" s="2" t="s">
        <v>2</v>
      </c>
      <c r="E18" s="5" t="s">
        <v>37</v>
      </c>
      <c r="F18" t="s">
        <v>80</v>
      </c>
    </row>
    <row r="19" spans="1:81" ht="15.75" x14ac:dyDescent="0.25">
      <c r="A19">
        <v>1</v>
      </c>
      <c r="B19" s="4" t="s">
        <v>6</v>
      </c>
      <c r="C19" s="4" t="s">
        <v>30</v>
      </c>
      <c r="E19" s="5" t="s">
        <v>53</v>
      </c>
      <c r="F19" t="s">
        <v>79</v>
      </c>
    </row>
    <row r="20" spans="1:81" ht="15.75" x14ac:dyDescent="0.25">
      <c r="A20">
        <v>2</v>
      </c>
      <c r="B20" s="4" t="s">
        <v>7</v>
      </c>
      <c r="C20" s="4" t="s">
        <v>31</v>
      </c>
      <c r="E20" s="5" t="s">
        <v>45</v>
      </c>
      <c r="F20" t="s">
        <v>81</v>
      </c>
    </row>
    <row r="21" spans="1:81" ht="15.75" x14ac:dyDescent="0.25">
      <c r="A21">
        <v>3</v>
      </c>
      <c r="B21" s="4" t="s">
        <v>9</v>
      </c>
      <c r="C21" s="4" t="s">
        <v>32</v>
      </c>
      <c r="E21" s="5" t="s">
        <v>13</v>
      </c>
      <c r="F21" t="s">
        <v>81</v>
      </c>
    </row>
    <row r="22" spans="1:81" ht="15.75" x14ac:dyDescent="0.25">
      <c r="A22">
        <v>4</v>
      </c>
      <c r="B22" s="4" t="s">
        <v>55</v>
      </c>
      <c r="C22" s="4" t="s">
        <v>34</v>
      </c>
      <c r="E22" s="5" t="s">
        <v>8</v>
      </c>
      <c r="F22" t="s">
        <v>79</v>
      </c>
    </row>
    <row r="23" spans="1:81" ht="15.75" x14ac:dyDescent="0.25">
      <c r="A23">
        <v>5</v>
      </c>
      <c r="B23" s="4" t="s">
        <v>13</v>
      </c>
      <c r="C23" s="4" t="s">
        <v>12</v>
      </c>
      <c r="E23" s="5" t="s">
        <v>33</v>
      </c>
      <c r="F23" t="s">
        <v>81</v>
      </c>
    </row>
    <row r="24" spans="1:81" ht="15.75" x14ac:dyDescent="0.25">
      <c r="A24">
        <v>6</v>
      </c>
      <c r="B24" s="4" t="s">
        <v>49</v>
      </c>
      <c r="C24" s="4" t="s">
        <v>36</v>
      </c>
      <c r="E24" s="6" t="s">
        <v>38</v>
      </c>
    </row>
    <row r="25" spans="1:81" ht="15.75" x14ac:dyDescent="0.25">
      <c r="A25">
        <v>7</v>
      </c>
      <c r="B25" s="4" t="s">
        <v>16</v>
      </c>
      <c r="C25" s="4" t="s">
        <v>37</v>
      </c>
      <c r="E25" s="5" t="s">
        <v>21</v>
      </c>
      <c r="F25" t="s">
        <v>80</v>
      </c>
    </row>
    <row r="26" spans="1:81" ht="15.75" x14ac:dyDescent="0.25">
      <c r="A26">
        <v>8</v>
      </c>
      <c r="B26" s="4" t="s">
        <v>17</v>
      </c>
      <c r="C26" s="4" t="s">
        <v>56</v>
      </c>
      <c r="E26" s="5" t="s">
        <v>11</v>
      </c>
      <c r="F26" t="s">
        <v>81</v>
      </c>
      <c r="BW26" s="8"/>
      <c r="BX26" s="8"/>
      <c r="BY26" s="8"/>
      <c r="BZ26" s="8"/>
      <c r="CA26" s="8"/>
      <c r="CB26" s="8"/>
      <c r="CC26" s="8"/>
    </row>
    <row r="27" spans="1:81" ht="15.75" x14ac:dyDescent="0.25">
      <c r="A27">
        <v>9</v>
      </c>
      <c r="B27" s="4" t="s">
        <v>18</v>
      </c>
      <c r="C27" s="4" t="s">
        <v>52</v>
      </c>
      <c r="E27" s="5" t="s">
        <v>41</v>
      </c>
      <c r="F27" t="s">
        <v>81</v>
      </c>
    </row>
    <row r="28" spans="1:81" ht="15.75" x14ac:dyDescent="0.25">
      <c r="A28">
        <v>10</v>
      </c>
      <c r="B28" s="4" t="s">
        <v>57</v>
      </c>
      <c r="C28" s="4" t="s">
        <v>42</v>
      </c>
      <c r="E28" s="5" t="s">
        <v>15</v>
      </c>
      <c r="F28" t="s">
        <v>81</v>
      </c>
    </row>
    <row r="29" spans="1:81" ht="15.75" x14ac:dyDescent="0.25">
      <c r="A29">
        <v>11</v>
      </c>
      <c r="B29" s="4" t="s">
        <v>47</v>
      </c>
      <c r="C29" s="4" t="s">
        <v>44</v>
      </c>
      <c r="E29" s="5" t="s">
        <v>49</v>
      </c>
      <c r="F29" t="s">
        <v>80</v>
      </c>
    </row>
    <row r="30" spans="1:81" ht="15.75" x14ac:dyDescent="0.25">
      <c r="A30">
        <v>12</v>
      </c>
      <c r="B30" s="4" t="s">
        <v>27</v>
      </c>
      <c r="C30" s="4" t="s">
        <v>45</v>
      </c>
      <c r="E30" s="5" t="s">
        <v>4</v>
      </c>
      <c r="F30" t="s">
        <v>80</v>
      </c>
    </row>
    <row r="31" spans="1:81" ht="15.75" x14ac:dyDescent="0.25">
      <c r="A31">
        <v>13</v>
      </c>
      <c r="B31" s="4" t="s">
        <v>28</v>
      </c>
      <c r="C31" s="4" t="s">
        <v>53</v>
      </c>
      <c r="E31" s="5" t="s">
        <v>44</v>
      </c>
      <c r="F31" t="s">
        <v>79</v>
      </c>
    </row>
    <row r="32" spans="1:81" ht="15.75" x14ac:dyDescent="0.25">
      <c r="E32" s="5" t="s">
        <v>57</v>
      </c>
      <c r="F32" t="s">
        <v>80</v>
      </c>
    </row>
    <row r="33" spans="5:6" ht="15.75" x14ac:dyDescent="0.25">
      <c r="E33" s="5" t="s">
        <v>47</v>
      </c>
      <c r="F33" t="s">
        <v>81</v>
      </c>
    </row>
    <row r="34" spans="5:6" ht="15.75" x14ac:dyDescent="0.25">
      <c r="E34" s="5" t="s">
        <v>19</v>
      </c>
      <c r="F34" t="s">
        <v>80</v>
      </c>
    </row>
    <row r="35" spans="5:6" ht="15.75" x14ac:dyDescent="0.25">
      <c r="E35" s="5" t="s">
        <v>32</v>
      </c>
      <c r="F35" t="s">
        <v>81</v>
      </c>
    </row>
    <row r="36" spans="5:6" ht="15.75" x14ac:dyDescent="0.25">
      <c r="E36" s="5" t="s">
        <v>52</v>
      </c>
      <c r="F36" t="s">
        <v>79</v>
      </c>
    </row>
    <row r="37" spans="5:6" ht="15.75" x14ac:dyDescent="0.25">
      <c r="E37" s="5" t="s">
        <v>28</v>
      </c>
      <c r="F37" t="s">
        <v>81</v>
      </c>
    </row>
    <row r="38" spans="5:6" ht="15.75" x14ac:dyDescent="0.25">
      <c r="E38" s="5" t="s">
        <v>42</v>
      </c>
      <c r="F38" t="s">
        <v>81</v>
      </c>
    </row>
    <row r="39" spans="5:6" ht="15.75" x14ac:dyDescent="0.25">
      <c r="E39" s="6" t="s">
        <v>55</v>
      </c>
    </row>
    <row r="40" spans="5:6" ht="15.75" x14ac:dyDescent="0.25">
      <c r="E40" s="5" t="s">
        <v>48</v>
      </c>
      <c r="F40" t="s">
        <v>79</v>
      </c>
    </row>
    <row r="41" spans="5:6" ht="15.75" x14ac:dyDescent="0.25">
      <c r="E41" s="5" t="s">
        <v>31</v>
      </c>
      <c r="F41" t="s">
        <v>79</v>
      </c>
    </row>
    <row r="42" spans="5:6" ht="15.75" x14ac:dyDescent="0.25">
      <c r="E42" s="5" t="s">
        <v>3</v>
      </c>
      <c r="F42" t="s">
        <v>79</v>
      </c>
    </row>
    <row r="43" spans="5:6" ht="15.75" x14ac:dyDescent="0.25">
      <c r="E43" s="6" t="s">
        <v>17</v>
      </c>
    </row>
    <row r="44" spans="5:6" ht="15.75" x14ac:dyDescent="0.25">
      <c r="E44" s="6" t="s">
        <v>56</v>
      </c>
    </row>
    <row r="45" spans="5:6" ht="15.75" x14ac:dyDescent="0.25">
      <c r="E45" s="5" t="s">
        <v>9</v>
      </c>
      <c r="F45" t="s">
        <v>79</v>
      </c>
    </row>
    <row r="46" spans="5:6" ht="15.75" x14ac:dyDescent="0.25">
      <c r="E46" s="5" t="s">
        <v>51</v>
      </c>
      <c r="F46" t="s">
        <v>80</v>
      </c>
    </row>
    <row r="47" spans="5:6" ht="15.75" x14ac:dyDescent="0.25">
      <c r="E47" s="5" t="s">
        <v>43</v>
      </c>
      <c r="F47" t="s">
        <v>81</v>
      </c>
    </row>
    <row r="48" spans="5:6" ht="15.75" x14ac:dyDescent="0.25">
      <c r="E48" s="5" t="s">
        <v>36</v>
      </c>
      <c r="F48" t="s">
        <v>80</v>
      </c>
    </row>
    <row r="49" spans="5:6" ht="15.75" x14ac:dyDescent="0.25">
      <c r="E49" s="5" t="s">
        <v>30</v>
      </c>
      <c r="F49" t="s">
        <v>80</v>
      </c>
    </row>
    <row r="50" spans="5:6" ht="15.75" x14ac:dyDescent="0.25">
      <c r="E50" s="5" t="s">
        <v>35</v>
      </c>
      <c r="F50" t="s">
        <v>79</v>
      </c>
    </row>
    <row r="51" spans="5:6" ht="15.75" x14ac:dyDescent="0.25">
      <c r="E51" s="5" t="s">
        <v>40</v>
      </c>
      <c r="F51" t="s">
        <v>79</v>
      </c>
    </row>
    <row r="52" spans="5:6" ht="15.75" x14ac:dyDescent="0.25">
      <c r="E52" s="5" t="s">
        <v>16</v>
      </c>
      <c r="F52" t="s">
        <v>81</v>
      </c>
    </row>
    <row r="53" spans="5:6" ht="15.75" x14ac:dyDescent="0.25">
      <c r="E53" s="5" t="s">
        <v>39</v>
      </c>
      <c r="F53" t="s">
        <v>79</v>
      </c>
    </row>
    <row r="54" spans="5:6" ht="15.75" x14ac:dyDescent="0.25">
      <c r="E54" s="5" t="s">
        <v>23</v>
      </c>
      <c r="F54" t="s">
        <v>79</v>
      </c>
    </row>
    <row r="55" spans="5:6" ht="15.75" x14ac:dyDescent="0.25">
      <c r="E55" s="6" t="s">
        <v>18</v>
      </c>
    </row>
    <row r="56" spans="5:6" ht="15.75" x14ac:dyDescent="0.25">
      <c r="E56" s="5" t="s">
        <v>5</v>
      </c>
      <c r="F56" t="s">
        <v>80</v>
      </c>
    </row>
    <row r="57" spans="5:6" ht="15.75" x14ac:dyDescent="0.25">
      <c r="E57" s="5" t="s">
        <v>27</v>
      </c>
      <c r="F57" t="s">
        <v>80</v>
      </c>
    </row>
    <row r="58" spans="5:6" ht="15.75" x14ac:dyDescent="0.25">
      <c r="E58" s="5" t="s">
        <v>7</v>
      </c>
      <c r="F58" t="s">
        <v>79</v>
      </c>
    </row>
    <row r="59" spans="5:6" ht="15.75" x14ac:dyDescent="0.25">
      <c r="E59" s="5" t="s">
        <v>29</v>
      </c>
      <c r="F59" t="s">
        <v>79</v>
      </c>
    </row>
    <row r="60" spans="5:6" ht="15.75" x14ac:dyDescent="0.25">
      <c r="E60" s="5" t="s">
        <v>6</v>
      </c>
      <c r="F60" t="s">
        <v>80</v>
      </c>
    </row>
    <row r="61" spans="5:6" ht="15.75" x14ac:dyDescent="0.25">
      <c r="E61" s="5" t="s">
        <v>50</v>
      </c>
      <c r="F61" t="s">
        <v>80</v>
      </c>
    </row>
    <row r="62" spans="5:6" ht="15.75" x14ac:dyDescent="0.25">
      <c r="E62" s="5" t="s">
        <v>25</v>
      </c>
      <c r="F62" t="s">
        <v>80</v>
      </c>
    </row>
    <row r="63" spans="5:6" ht="15.75" x14ac:dyDescent="0.25">
      <c r="E63" s="5" t="s">
        <v>22</v>
      </c>
      <c r="F63" t="s">
        <v>79</v>
      </c>
    </row>
    <row r="64" spans="5:6" ht="15.75" x14ac:dyDescent="0.25">
      <c r="E64" s="5" t="s">
        <v>46</v>
      </c>
      <c r="F64" t="s">
        <v>80</v>
      </c>
    </row>
    <row r="65" spans="5:28" ht="15.75" x14ac:dyDescent="0.25">
      <c r="E65" s="5" t="s">
        <v>24</v>
      </c>
      <c r="F65" t="s">
        <v>81</v>
      </c>
    </row>
    <row r="66" spans="5:28" ht="15.75" x14ac:dyDescent="0.25">
      <c r="E66" s="5" t="s">
        <v>14</v>
      </c>
      <c r="F66" t="s">
        <v>80</v>
      </c>
      <c r="G66" s="4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5:28" ht="15.75" x14ac:dyDescent="0.25">
      <c r="E67" s="5" t="s">
        <v>26</v>
      </c>
      <c r="F67" t="s">
        <v>81</v>
      </c>
      <c r="G67" s="4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5:28" ht="15.75" x14ac:dyDescent="0.25">
      <c r="E68" s="5" t="s">
        <v>34</v>
      </c>
      <c r="F68" t="s">
        <v>81</v>
      </c>
      <c r="G68" s="4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5:28" ht="15.75" x14ac:dyDescent="0.25">
      <c r="E69" s="5" t="s">
        <v>12</v>
      </c>
      <c r="F69" t="s">
        <v>80</v>
      </c>
      <c r="G69" s="4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5:28" x14ac:dyDescent="0.25"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5:28" ht="18.75" x14ac:dyDescent="0.3">
      <c r="E71" s="2"/>
      <c r="F71" s="2"/>
      <c r="G71" s="2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5:28" ht="18.75" x14ac:dyDescent="0.3">
      <c r="E72" s="2"/>
      <c r="F72" s="2"/>
      <c r="G72" s="2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5:28" x14ac:dyDescent="0.25"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5:28" ht="18.75" x14ac:dyDescent="0.3">
      <c r="E74" s="2"/>
      <c r="F74" s="2"/>
      <c r="G74" s="2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5:28" ht="18.75" x14ac:dyDescent="0.3">
      <c r="E75" s="2"/>
      <c r="F75" s="2"/>
      <c r="G75" s="2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5:28" x14ac:dyDescent="0.25"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5:28" x14ac:dyDescent="0.25"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5:28" x14ac:dyDescent="0.25"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5:28" x14ac:dyDescent="0.25"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</sheetData>
  <sortState xmlns:xlrd2="http://schemas.microsoft.com/office/spreadsheetml/2017/richdata2" ref="G16:H69">
    <sortCondition ref="H16:H69"/>
    <sortCondition ref="G16:G6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06598-A2AA-430F-AC1A-A7AAC94F273E}">
  <dimension ref="A1:CE132"/>
  <sheetViews>
    <sheetView tabSelected="1" topLeftCell="A79" workbookViewId="0">
      <selection activeCell="B80" sqref="B80"/>
    </sheetView>
  </sheetViews>
  <sheetFormatPr defaultRowHeight="15" x14ac:dyDescent="0.25"/>
  <cols>
    <col min="1" max="1" width="28.140625" customWidth="1"/>
    <col min="2" max="2" width="8" style="1" customWidth="1"/>
    <col min="3" max="3" width="6.42578125" customWidth="1"/>
    <col min="4" max="12" width="5.28515625" customWidth="1"/>
    <col min="14" max="17" width="10.7109375" customWidth="1"/>
    <col min="28" max="28" width="10.5703125" customWidth="1"/>
    <col min="30" max="30" width="10" customWidth="1"/>
    <col min="38" max="38" width="11.140625" customWidth="1"/>
    <col min="39" max="39" width="10.85546875" customWidth="1"/>
    <col min="47" max="48" width="10.28515625" customWidth="1"/>
    <col min="53" max="53" width="10.28515625" customWidth="1"/>
    <col min="55" max="55" width="10" customWidth="1"/>
    <col min="65" max="65" width="9.42578125" customWidth="1"/>
    <col min="77" max="77" width="11" customWidth="1"/>
    <col min="78" max="78" width="9.85546875" customWidth="1"/>
    <col min="80" max="80" width="10.140625" customWidth="1"/>
  </cols>
  <sheetData>
    <row r="1" spans="1:83" ht="23.25" x14ac:dyDescent="0.35">
      <c r="M1" s="30" t="s">
        <v>58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</row>
    <row r="2" spans="1:83" ht="21" x14ac:dyDescent="0.35">
      <c r="M2" s="29">
        <v>1</v>
      </c>
      <c r="N2" s="29"/>
      <c r="O2" s="29"/>
      <c r="P2" s="29"/>
      <c r="Q2" s="29"/>
      <c r="R2" s="29"/>
      <c r="S2" s="29"/>
      <c r="T2" s="29">
        <v>2</v>
      </c>
      <c r="U2" s="29"/>
      <c r="V2" s="29"/>
      <c r="W2" s="29"/>
      <c r="X2" s="29"/>
      <c r="Y2" s="29"/>
      <c r="Z2" s="29"/>
      <c r="AA2" s="29">
        <v>3</v>
      </c>
      <c r="AB2" s="29"/>
      <c r="AC2" s="29"/>
      <c r="AD2" s="29"/>
      <c r="AE2" s="29"/>
      <c r="AF2" s="29"/>
      <c r="AG2" s="29"/>
      <c r="AH2" s="29"/>
      <c r="AI2" s="7"/>
      <c r="AJ2" s="7"/>
      <c r="AK2" s="7"/>
      <c r="AL2" s="29">
        <v>4</v>
      </c>
      <c r="AM2" s="29"/>
      <c r="AN2" s="29"/>
      <c r="AO2" s="29"/>
      <c r="AP2" s="7"/>
      <c r="AQ2" s="7"/>
      <c r="AR2" s="29">
        <v>5</v>
      </c>
      <c r="AS2" s="29"/>
      <c r="AT2" s="29"/>
      <c r="AU2" s="29"/>
      <c r="AV2" s="29"/>
      <c r="AW2" s="29"/>
      <c r="AX2" s="29"/>
      <c r="AY2" s="29"/>
      <c r="AZ2" s="29">
        <v>6</v>
      </c>
      <c r="BA2" s="29"/>
      <c r="BB2" s="29"/>
      <c r="BC2" s="29"/>
      <c r="BD2" s="29"/>
      <c r="BE2" s="29"/>
      <c r="BF2" s="29"/>
      <c r="BG2" s="29">
        <v>7</v>
      </c>
      <c r="BH2" s="29"/>
      <c r="BI2" s="29"/>
      <c r="BJ2" s="29"/>
      <c r="BK2" s="29"/>
      <c r="BL2" s="29"/>
      <c r="BM2" s="29"/>
      <c r="BN2" s="29"/>
      <c r="BO2" s="29">
        <v>8</v>
      </c>
      <c r="BP2" s="29"/>
      <c r="BQ2" s="29"/>
      <c r="BR2" s="29">
        <v>9</v>
      </c>
      <c r="BS2" s="29"/>
      <c r="BT2" s="29"/>
      <c r="BU2" s="29"/>
      <c r="BV2" s="29"/>
      <c r="BW2" s="29"/>
      <c r="BX2" s="29"/>
      <c r="BY2" s="29">
        <v>10</v>
      </c>
      <c r="BZ2" s="29"/>
      <c r="CA2" s="29"/>
      <c r="CB2" s="29"/>
      <c r="CC2" s="29"/>
      <c r="CD2" s="29"/>
      <c r="CE2" s="29"/>
    </row>
    <row r="3" spans="1:83" ht="102.75" x14ac:dyDescent="0.25">
      <c r="A3" s="8"/>
      <c r="B3" s="23" t="s">
        <v>201</v>
      </c>
      <c r="C3" s="10">
        <v>1</v>
      </c>
      <c r="D3" s="10" t="s">
        <v>203</v>
      </c>
      <c r="E3" s="10">
        <v>3</v>
      </c>
      <c r="F3" s="10">
        <v>4</v>
      </c>
      <c r="G3" s="10">
        <v>5</v>
      </c>
      <c r="H3" s="10">
        <v>6</v>
      </c>
      <c r="I3" s="10" t="s">
        <v>204</v>
      </c>
      <c r="J3" s="10">
        <v>8</v>
      </c>
      <c r="K3" s="10">
        <v>9</v>
      </c>
      <c r="L3" s="10">
        <v>10</v>
      </c>
      <c r="M3" s="17" t="s">
        <v>198</v>
      </c>
      <c r="N3" s="17" t="s">
        <v>199</v>
      </c>
      <c r="O3" s="17" t="s">
        <v>200</v>
      </c>
      <c r="P3" s="17" t="s">
        <v>59</v>
      </c>
      <c r="Q3" s="17" t="s">
        <v>60</v>
      </c>
      <c r="R3" s="17" t="s">
        <v>61</v>
      </c>
      <c r="S3" s="17" t="s">
        <v>62</v>
      </c>
      <c r="T3" s="17" t="s">
        <v>63</v>
      </c>
      <c r="U3" s="17" t="s">
        <v>64</v>
      </c>
      <c r="V3" s="17" t="s">
        <v>65</v>
      </c>
      <c r="W3" s="17" t="s">
        <v>66</v>
      </c>
      <c r="X3" s="17" t="s">
        <v>67</v>
      </c>
      <c r="Y3" s="17" t="s">
        <v>68</v>
      </c>
      <c r="Z3" s="17" t="s">
        <v>62</v>
      </c>
      <c r="AA3" s="17" t="s">
        <v>69</v>
      </c>
      <c r="AB3" s="17" t="s">
        <v>70</v>
      </c>
      <c r="AC3" s="17" t="s">
        <v>71</v>
      </c>
      <c r="AD3" s="17" t="s">
        <v>72</v>
      </c>
      <c r="AE3" s="17" t="s">
        <v>73</v>
      </c>
      <c r="AF3" s="17" t="s">
        <v>74</v>
      </c>
      <c r="AG3" s="17" t="s">
        <v>75</v>
      </c>
      <c r="AH3" s="17" t="s">
        <v>62</v>
      </c>
      <c r="AI3" s="17"/>
      <c r="AJ3" s="17"/>
      <c r="AK3" s="17"/>
      <c r="AL3" s="17" t="s">
        <v>76</v>
      </c>
      <c r="AM3" s="17" t="s">
        <v>77</v>
      </c>
      <c r="AN3" s="17" t="s">
        <v>78</v>
      </c>
      <c r="AO3" s="17" t="s">
        <v>62</v>
      </c>
      <c r="AP3" s="17"/>
      <c r="AQ3" s="17"/>
      <c r="AR3" s="17" t="s">
        <v>82</v>
      </c>
      <c r="AS3" s="17" t="s">
        <v>83</v>
      </c>
      <c r="AT3" s="17" t="s">
        <v>84</v>
      </c>
      <c r="AU3" s="17" t="s">
        <v>85</v>
      </c>
      <c r="AV3" s="17" t="s">
        <v>86</v>
      </c>
      <c r="AW3" s="17" t="s">
        <v>87</v>
      </c>
      <c r="AX3" s="17" t="s">
        <v>88</v>
      </c>
      <c r="AY3" s="17" t="s">
        <v>89</v>
      </c>
      <c r="AZ3" s="17" t="s">
        <v>90</v>
      </c>
      <c r="BA3" s="17" t="s">
        <v>91</v>
      </c>
      <c r="BB3" s="17" t="s">
        <v>92</v>
      </c>
      <c r="BC3" s="17" t="s">
        <v>93</v>
      </c>
      <c r="BD3" s="17" t="s">
        <v>94</v>
      </c>
      <c r="BE3" s="17" t="s">
        <v>95</v>
      </c>
      <c r="BF3" s="17" t="s">
        <v>89</v>
      </c>
      <c r="BG3" s="17" t="s">
        <v>96</v>
      </c>
      <c r="BH3" s="17" t="s">
        <v>97</v>
      </c>
      <c r="BI3" s="17" t="s">
        <v>98</v>
      </c>
      <c r="BJ3" s="17" t="s">
        <v>99</v>
      </c>
      <c r="BK3" s="17" t="s">
        <v>100</v>
      </c>
      <c r="BL3" s="17" t="s">
        <v>101</v>
      </c>
      <c r="BM3" s="17" t="s">
        <v>102</v>
      </c>
      <c r="BN3" s="17" t="s">
        <v>89</v>
      </c>
      <c r="BO3" s="17" t="s">
        <v>103</v>
      </c>
      <c r="BP3" s="19" t="s">
        <v>104</v>
      </c>
      <c r="BQ3" s="19" t="s">
        <v>89</v>
      </c>
      <c r="BR3" s="19" t="s">
        <v>105</v>
      </c>
      <c r="BS3" s="19" t="s">
        <v>106</v>
      </c>
      <c r="BT3" s="19" t="s">
        <v>72</v>
      </c>
      <c r="BU3" s="19" t="s">
        <v>107</v>
      </c>
      <c r="BV3" s="19" t="s">
        <v>108</v>
      </c>
      <c r="BW3" s="17" t="s">
        <v>89</v>
      </c>
      <c r="BX3" s="17"/>
      <c r="BY3" s="17" t="s">
        <v>109</v>
      </c>
      <c r="BZ3" s="17" t="s">
        <v>110</v>
      </c>
      <c r="CA3" s="17" t="s">
        <v>111</v>
      </c>
      <c r="CB3" s="17" t="s">
        <v>112</v>
      </c>
      <c r="CC3" s="17" t="s">
        <v>113</v>
      </c>
      <c r="CD3" s="17" t="s">
        <v>114</v>
      </c>
      <c r="CE3" s="10" t="s">
        <v>89</v>
      </c>
    </row>
    <row r="4" spans="1:83" x14ac:dyDescent="0.25">
      <c r="A4" s="8"/>
      <c r="B4" s="23"/>
      <c r="C4" s="10"/>
      <c r="D4" s="10"/>
      <c r="E4" s="10"/>
      <c r="F4" s="10"/>
      <c r="G4" s="10"/>
      <c r="H4" s="10"/>
      <c r="I4" s="10"/>
      <c r="J4" s="10"/>
      <c r="K4" s="10"/>
      <c r="L4" s="10"/>
      <c r="M4" s="3">
        <v>1</v>
      </c>
      <c r="N4" s="3">
        <v>1</v>
      </c>
      <c r="O4" s="3">
        <v>4</v>
      </c>
      <c r="P4" s="3">
        <v>2</v>
      </c>
      <c r="Q4" s="3">
        <v>1</v>
      </c>
      <c r="R4" s="3">
        <v>1</v>
      </c>
      <c r="S4" s="3">
        <f>SUM(M4:R4)</f>
        <v>10</v>
      </c>
      <c r="T4" s="3">
        <v>1</v>
      </c>
      <c r="U4" s="3">
        <v>4</v>
      </c>
      <c r="V4" s="3">
        <v>1</v>
      </c>
      <c r="W4" s="3">
        <v>1</v>
      </c>
      <c r="X4" s="3">
        <v>1</v>
      </c>
      <c r="Y4" s="3">
        <v>2</v>
      </c>
      <c r="Z4" s="3">
        <f>SUM(T4:Y4)</f>
        <v>10</v>
      </c>
      <c r="AA4" s="3">
        <v>2</v>
      </c>
      <c r="AB4" s="3">
        <v>2</v>
      </c>
      <c r="AC4" s="3">
        <v>2</v>
      </c>
      <c r="AD4" s="3">
        <v>1</v>
      </c>
      <c r="AE4" s="3">
        <v>1</v>
      </c>
      <c r="AF4" s="3">
        <v>1</v>
      </c>
      <c r="AG4" s="3">
        <v>1</v>
      </c>
      <c r="AH4" s="3">
        <f>SUM(AA4:AG4)</f>
        <v>10</v>
      </c>
      <c r="AI4" s="3"/>
      <c r="AJ4" s="3"/>
      <c r="AK4" s="3"/>
      <c r="AL4" s="3">
        <v>3</v>
      </c>
      <c r="AM4" s="3">
        <v>4</v>
      </c>
      <c r="AN4" s="3">
        <v>3</v>
      </c>
      <c r="AO4" s="3">
        <f>SUM(AL4:AN4)</f>
        <v>10</v>
      </c>
      <c r="AP4" s="3"/>
      <c r="AQ4" s="3"/>
      <c r="AR4" s="3">
        <v>1</v>
      </c>
      <c r="AS4" s="3">
        <v>2</v>
      </c>
      <c r="AT4" s="3">
        <v>2</v>
      </c>
      <c r="AU4" s="3">
        <v>2</v>
      </c>
      <c r="AV4" s="3">
        <v>1</v>
      </c>
      <c r="AW4" s="3">
        <v>1</v>
      </c>
      <c r="AX4" s="3">
        <v>1</v>
      </c>
      <c r="AY4" s="3">
        <f>SUM(AR4:AX4)</f>
        <v>10</v>
      </c>
      <c r="AZ4" s="3">
        <v>2</v>
      </c>
      <c r="BA4" s="3">
        <v>2</v>
      </c>
      <c r="BB4" s="3">
        <v>1</v>
      </c>
      <c r="BC4" s="3">
        <v>3</v>
      </c>
      <c r="BD4" s="3">
        <v>1</v>
      </c>
      <c r="BE4" s="3">
        <v>1</v>
      </c>
      <c r="BF4" s="3">
        <f>SUM(AZ4:BE4)</f>
        <v>10</v>
      </c>
      <c r="BG4" s="3">
        <v>1</v>
      </c>
      <c r="BH4" s="3">
        <v>1</v>
      </c>
      <c r="BI4" s="3">
        <v>2</v>
      </c>
      <c r="BJ4" s="3">
        <v>2</v>
      </c>
      <c r="BK4" s="3">
        <v>2</v>
      </c>
      <c r="BL4" s="3">
        <v>1</v>
      </c>
      <c r="BM4" s="3">
        <v>1</v>
      </c>
      <c r="BN4" s="3">
        <f>SUM(BG4:BM4)</f>
        <v>10</v>
      </c>
      <c r="BO4" s="3">
        <v>5</v>
      </c>
      <c r="BP4" s="3">
        <v>5</v>
      </c>
      <c r="BQ4" s="3">
        <f>SUM(BO4:BP4)</f>
        <v>10</v>
      </c>
      <c r="BR4" s="3">
        <v>4</v>
      </c>
      <c r="BS4" s="3">
        <v>2</v>
      </c>
      <c r="BT4" s="3">
        <v>2</v>
      </c>
      <c r="BU4" s="3">
        <v>1</v>
      </c>
      <c r="BV4" s="3">
        <v>1</v>
      </c>
      <c r="BW4" s="3">
        <f>SUM(BR4:BV4)</f>
        <v>10</v>
      </c>
      <c r="BY4" s="3">
        <v>2</v>
      </c>
      <c r="BZ4" s="3">
        <v>2</v>
      </c>
      <c r="CA4" s="3">
        <v>2</v>
      </c>
      <c r="CB4" s="3">
        <v>2</v>
      </c>
      <c r="CC4" s="3">
        <v>1</v>
      </c>
      <c r="CD4" s="3">
        <v>1</v>
      </c>
      <c r="CE4" s="3">
        <f>SUM(BY4:CD4)</f>
        <v>10</v>
      </c>
    </row>
    <row r="5" spans="1:83" x14ac:dyDescent="0.25">
      <c r="A5" s="8"/>
      <c r="B5" s="23"/>
      <c r="C5" s="10"/>
      <c r="D5" s="10"/>
      <c r="E5" s="10"/>
      <c r="F5" s="10"/>
      <c r="G5" s="10"/>
      <c r="H5" s="10"/>
      <c r="I5" s="10"/>
      <c r="J5" s="10"/>
      <c r="K5" s="10"/>
      <c r="L5" s="10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H5" s="3"/>
      <c r="AO5" s="3"/>
      <c r="AY5" s="3"/>
      <c r="BF5" s="3"/>
      <c r="BK5" s="3"/>
      <c r="BL5" s="3"/>
      <c r="BM5" s="3"/>
      <c r="BN5" s="3"/>
      <c r="BO5" s="3"/>
      <c r="BP5" s="3"/>
      <c r="BQ5" s="3"/>
      <c r="BW5" s="3"/>
      <c r="CE5" s="3"/>
    </row>
    <row r="6" spans="1:83" ht="15.75" x14ac:dyDescent="0.25">
      <c r="A6" s="11" t="s">
        <v>37</v>
      </c>
      <c r="B6" s="24">
        <f>SUM(C6:L6)</f>
        <v>50</v>
      </c>
      <c r="C6" s="22">
        <f>S6</f>
        <v>5</v>
      </c>
      <c r="D6" s="22">
        <f>Z6</f>
        <v>5</v>
      </c>
      <c r="E6" s="22">
        <f>AH6</f>
        <v>2</v>
      </c>
      <c r="F6" s="22">
        <f>AO6</f>
        <v>10</v>
      </c>
      <c r="G6" s="22">
        <f>AY6</f>
        <v>5</v>
      </c>
      <c r="H6" s="22">
        <f>BF6</f>
        <v>2</v>
      </c>
      <c r="I6" s="22">
        <f>BN6</f>
        <v>10</v>
      </c>
      <c r="J6" s="22">
        <f>BQ6</f>
        <v>6</v>
      </c>
      <c r="K6" s="22">
        <f>BW6</f>
        <v>0</v>
      </c>
      <c r="L6" s="22">
        <f>CE6</f>
        <v>5</v>
      </c>
      <c r="M6" s="3">
        <v>1</v>
      </c>
      <c r="N6" s="3">
        <v>1</v>
      </c>
      <c r="O6" s="3">
        <v>1</v>
      </c>
      <c r="P6" s="3">
        <v>2</v>
      </c>
      <c r="Q6" s="3">
        <v>0</v>
      </c>
      <c r="R6" s="3">
        <v>0</v>
      </c>
      <c r="S6" s="3">
        <f t="shared" ref="S6:S22" si="0">SUM(M6:R6)</f>
        <v>5</v>
      </c>
      <c r="T6" s="3">
        <v>1</v>
      </c>
      <c r="U6" s="3">
        <v>0</v>
      </c>
      <c r="V6" s="3">
        <v>1</v>
      </c>
      <c r="W6" s="3">
        <v>0</v>
      </c>
      <c r="X6" s="3">
        <v>1</v>
      </c>
      <c r="Y6" s="3">
        <v>2</v>
      </c>
      <c r="Z6" s="3">
        <f t="shared" ref="Z6:Z22" si="1">SUM(T6:Y6)</f>
        <v>5</v>
      </c>
      <c r="AA6" s="3">
        <v>1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1</v>
      </c>
      <c r="AH6" s="3">
        <f t="shared" ref="AH6:AH22" si="2">SUM(AA6:AG6)</f>
        <v>2</v>
      </c>
      <c r="AL6" s="3">
        <v>3</v>
      </c>
      <c r="AM6" s="3">
        <v>4</v>
      </c>
      <c r="AN6" s="3">
        <v>3</v>
      </c>
      <c r="AO6" s="3">
        <f t="shared" ref="AO6:AO22" si="3">SUM(AL6:AN6)</f>
        <v>10</v>
      </c>
      <c r="AR6" s="3">
        <v>1</v>
      </c>
      <c r="AS6" s="3">
        <v>2</v>
      </c>
      <c r="AT6" s="3">
        <v>0</v>
      </c>
      <c r="AU6" s="3">
        <v>0</v>
      </c>
      <c r="AV6" s="3">
        <v>1</v>
      </c>
      <c r="AW6" s="3">
        <v>0</v>
      </c>
      <c r="AX6" s="3">
        <v>1</v>
      </c>
      <c r="AY6" s="3">
        <f t="shared" ref="AY6:AY22" si="4">SUM(AR6:AX6)</f>
        <v>5</v>
      </c>
      <c r="AZ6" s="3">
        <v>1</v>
      </c>
      <c r="BA6" s="3">
        <v>0</v>
      </c>
      <c r="BB6" s="3">
        <v>1</v>
      </c>
      <c r="BC6" s="3">
        <v>0</v>
      </c>
      <c r="BD6" s="3">
        <v>0</v>
      </c>
      <c r="BE6" s="3">
        <v>0</v>
      </c>
      <c r="BF6" s="3">
        <f t="shared" ref="BF6:BF22" si="5">SUM(AZ6:BE6)</f>
        <v>2</v>
      </c>
      <c r="BG6" s="3">
        <v>1</v>
      </c>
      <c r="BH6" s="3">
        <v>1</v>
      </c>
      <c r="BI6" s="3">
        <v>2</v>
      </c>
      <c r="BJ6" s="3">
        <v>2</v>
      </c>
      <c r="BK6" s="3">
        <v>2</v>
      </c>
      <c r="BL6" s="3">
        <v>1</v>
      </c>
      <c r="BM6" s="3">
        <v>1</v>
      </c>
      <c r="BN6" s="3">
        <f t="shared" ref="BN6:BN22" si="6">SUM(BG6:BM6)</f>
        <v>10</v>
      </c>
      <c r="BO6" s="3">
        <v>3</v>
      </c>
      <c r="BP6" s="3">
        <v>3</v>
      </c>
      <c r="BQ6" s="3">
        <f t="shared" ref="BQ6:BQ22" si="7">SUM(BO6:BP6)</f>
        <v>6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f t="shared" ref="BW6:BW22" si="8">SUM(BR6:BV6)</f>
        <v>0</v>
      </c>
      <c r="BY6" s="3">
        <v>2</v>
      </c>
      <c r="BZ6" s="3">
        <v>0</v>
      </c>
      <c r="CA6" s="3">
        <v>2</v>
      </c>
      <c r="CB6" s="3">
        <v>0</v>
      </c>
      <c r="CC6" s="3">
        <v>1</v>
      </c>
      <c r="CD6" s="3">
        <v>0</v>
      </c>
      <c r="CE6" s="3">
        <f t="shared" ref="CE6:CE22" si="9">SUM(BY6:CD6)</f>
        <v>5</v>
      </c>
    </row>
    <row r="7" spans="1:83" ht="15.75" x14ac:dyDescent="0.25">
      <c r="A7" s="11" t="s">
        <v>21</v>
      </c>
      <c r="B7" s="24">
        <f t="shared" ref="B7:B8" si="10">SUM(C7:L7)</f>
        <v>36</v>
      </c>
      <c r="C7" s="22">
        <f t="shared" ref="C7:C8" si="11">S7</f>
        <v>5</v>
      </c>
      <c r="D7" s="22">
        <f t="shared" ref="D7:D8" si="12">Z7</f>
        <v>4</v>
      </c>
      <c r="E7" s="22">
        <f t="shared" ref="E7:E8" si="13">AH7</f>
        <v>0</v>
      </c>
      <c r="F7" s="22">
        <f t="shared" ref="F7:F8" si="14">AO7</f>
        <v>6</v>
      </c>
      <c r="G7" s="22">
        <f t="shared" ref="G7:G8" si="15">AY7</f>
        <v>7</v>
      </c>
      <c r="H7" s="22">
        <f t="shared" ref="H7:H8" si="16">BF7</f>
        <v>2</v>
      </c>
      <c r="I7" s="22">
        <f t="shared" ref="I7:I8" si="17">BN7</f>
        <v>5</v>
      </c>
      <c r="J7" s="22">
        <f t="shared" ref="J7:J8" si="18">BQ7</f>
        <v>5</v>
      </c>
      <c r="K7" s="22">
        <f t="shared" ref="K7:K8" si="19">BW7</f>
        <v>0</v>
      </c>
      <c r="L7" s="22">
        <f t="shared" ref="L7:L8" si="20">CE7</f>
        <v>2</v>
      </c>
      <c r="M7" s="3">
        <v>1</v>
      </c>
      <c r="N7" s="3">
        <v>1</v>
      </c>
      <c r="O7" s="3">
        <v>1</v>
      </c>
      <c r="P7" s="3">
        <v>2</v>
      </c>
      <c r="Q7" s="3">
        <v>0</v>
      </c>
      <c r="R7" s="3">
        <v>0</v>
      </c>
      <c r="S7" s="3">
        <f t="shared" si="0"/>
        <v>5</v>
      </c>
      <c r="T7" s="3">
        <v>1</v>
      </c>
      <c r="U7" s="3">
        <v>2</v>
      </c>
      <c r="V7" s="3">
        <v>1</v>
      </c>
      <c r="W7" s="3">
        <v>0</v>
      </c>
      <c r="X7" s="3">
        <v>0</v>
      </c>
      <c r="Y7" s="3">
        <v>0</v>
      </c>
      <c r="Z7" s="3">
        <f t="shared" si="1"/>
        <v>4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f t="shared" si="2"/>
        <v>0</v>
      </c>
      <c r="AL7" s="3">
        <v>3</v>
      </c>
      <c r="AM7" s="3">
        <v>0</v>
      </c>
      <c r="AN7" s="3">
        <v>3</v>
      </c>
      <c r="AO7" s="3">
        <f t="shared" si="3"/>
        <v>6</v>
      </c>
      <c r="AR7" s="3">
        <v>1</v>
      </c>
      <c r="AS7" s="3">
        <v>2</v>
      </c>
      <c r="AT7" s="3">
        <v>2</v>
      </c>
      <c r="AU7" s="3">
        <v>0</v>
      </c>
      <c r="AV7" s="3">
        <v>1</v>
      </c>
      <c r="AW7" s="3">
        <v>1</v>
      </c>
      <c r="AX7" s="3">
        <v>0</v>
      </c>
      <c r="AY7" s="3">
        <f t="shared" si="4"/>
        <v>7</v>
      </c>
      <c r="AZ7" s="3">
        <v>2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f t="shared" si="5"/>
        <v>2</v>
      </c>
      <c r="BG7" s="3">
        <v>1</v>
      </c>
      <c r="BH7" s="3">
        <v>1</v>
      </c>
      <c r="BI7" s="3">
        <v>0</v>
      </c>
      <c r="BJ7" s="3">
        <v>2</v>
      </c>
      <c r="BK7" s="3">
        <v>0</v>
      </c>
      <c r="BL7" s="3">
        <v>1</v>
      </c>
      <c r="BM7" s="3">
        <v>0</v>
      </c>
      <c r="BN7" s="3">
        <f t="shared" si="6"/>
        <v>5</v>
      </c>
      <c r="BO7" s="3">
        <v>5</v>
      </c>
      <c r="BP7" s="3">
        <v>0</v>
      </c>
      <c r="BQ7" s="3">
        <f t="shared" si="7"/>
        <v>5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f t="shared" si="8"/>
        <v>0</v>
      </c>
      <c r="BY7" s="3">
        <v>0</v>
      </c>
      <c r="BZ7" s="3">
        <v>0</v>
      </c>
      <c r="CA7" s="3">
        <v>0</v>
      </c>
      <c r="CB7" s="3">
        <v>0</v>
      </c>
      <c r="CC7" s="3">
        <v>1</v>
      </c>
      <c r="CD7" s="3">
        <v>1</v>
      </c>
      <c r="CE7" s="3">
        <f t="shared" si="9"/>
        <v>2</v>
      </c>
    </row>
    <row r="8" spans="1:83" ht="15.75" x14ac:dyDescent="0.25">
      <c r="A8" s="11" t="s">
        <v>49</v>
      </c>
      <c r="B8" s="24">
        <f t="shared" si="10"/>
        <v>56</v>
      </c>
      <c r="C8" s="22">
        <f t="shared" si="11"/>
        <v>5</v>
      </c>
      <c r="D8" s="22">
        <f t="shared" si="12"/>
        <v>5</v>
      </c>
      <c r="E8" s="22">
        <f t="shared" si="13"/>
        <v>2</v>
      </c>
      <c r="F8" s="22">
        <f t="shared" si="14"/>
        <v>6</v>
      </c>
      <c r="G8" s="22">
        <f t="shared" si="15"/>
        <v>4</v>
      </c>
      <c r="H8" s="22">
        <f t="shared" si="16"/>
        <v>3</v>
      </c>
      <c r="I8" s="22">
        <f t="shared" si="17"/>
        <v>10</v>
      </c>
      <c r="J8" s="22">
        <f t="shared" si="18"/>
        <v>8</v>
      </c>
      <c r="K8" s="22">
        <f t="shared" si="19"/>
        <v>10</v>
      </c>
      <c r="L8" s="22">
        <f t="shared" si="20"/>
        <v>3</v>
      </c>
      <c r="M8" s="3">
        <v>1</v>
      </c>
      <c r="N8" s="3">
        <v>1</v>
      </c>
      <c r="O8" s="3">
        <v>0</v>
      </c>
      <c r="P8" s="3">
        <v>2</v>
      </c>
      <c r="Q8" s="3">
        <v>0</v>
      </c>
      <c r="R8" s="3">
        <v>1</v>
      </c>
      <c r="S8" s="3">
        <f t="shared" si="0"/>
        <v>5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0</v>
      </c>
      <c r="Z8" s="3">
        <f t="shared" si="1"/>
        <v>5</v>
      </c>
      <c r="AA8" s="3">
        <v>0</v>
      </c>
      <c r="AB8" s="3">
        <v>0</v>
      </c>
      <c r="AC8" s="3">
        <v>0</v>
      </c>
      <c r="AD8" s="3">
        <v>1</v>
      </c>
      <c r="AE8" s="3">
        <v>0</v>
      </c>
      <c r="AF8" s="3">
        <v>1</v>
      </c>
      <c r="AG8" s="3">
        <v>0</v>
      </c>
      <c r="AH8" s="3">
        <f t="shared" si="2"/>
        <v>2</v>
      </c>
      <c r="AL8" s="3">
        <v>3</v>
      </c>
      <c r="AM8" s="3">
        <v>0</v>
      </c>
      <c r="AN8" s="3">
        <v>3</v>
      </c>
      <c r="AO8" s="3">
        <f t="shared" si="3"/>
        <v>6</v>
      </c>
      <c r="AR8" s="3">
        <v>0</v>
      </c>
      <c r="AS8" s="3">
        <v>2</v>
      </c>
      <c r="AT8" s="3">
        <v>0</v>
      </c>
      <c r="AU8" s="3">
        <v>0</v>
      </c>
      <c r="AV8" s="3">
        <v>1</v>
      </c>
      <c r="AW8" s="3">
        <v>0</v>
      </c>
      <c r="AX8" s="3">
        <v>1</v>
      </c>
      <c r="AY8" s="3">
        <f t="shared" si="4"/>
        <v>4</v>
      </c>
      <c r="AZ8" s="3">
        <v>2</v>
      </c>
      <c r="BA8" s="3">
        <v>0</v>
      </c>
      <c r="BB8" s="3">
        <v>1</v>
      </c>
      <c r="BC8" s="3">
        <v>0</v>
      </c>
      <c r="BD8" s="3">
        <v>0</v>
      </c>
      <c r="BE8" s="3">
        <v>0</v>
      </c>
      <c r="BF8" s="3">
        <f t="shared" si="5"/>
        <v>3</v>
      </c>
      <c r="BG8" s="3">
        <v>1</v>
      </c>
      <c r="BH8" s="3">
        <v>1</v>
      </c>
      <c r="BI8" s="3">
        <v>2</v>
      </c>
      <c r="BJ8" s="3">
        <v>2</v>
      </c>
      <c r="BK8" s="3">
        <v>2</v>
      </c>
      <c r="BL8" s="3">
        <v>1</v>
      </c>
      <c r="BM8" s="3">
        <v>1</v>
      </c>
      <c r="BN8" s="3">
        <f t="shared" si="6"/>
        <v>10</v>
      </c>
      <c r="BO8" s="3">
        <v>3</v>
      </c>
      <c r="BP8" s="3">
        <v>5</v>
      </c>
      <c r="BQ8" s="3">
        <f t="shared" si="7"/>
        <v>8</v>
      </c>
      <c r="BR8" s="3">
        <v>4</v>
      </c>
      <c r="BS8" s="3">
        <v>2</v>
      </c>
      <c r="BT8" s="3">
        <v>2</v>
      </c>
      <c r="BU8" s="3">
        <v>1</v>
      </c>
      <c r="BV8" s="3">
        <v>1</v>
      </c>
      <c r="BW8" s="3">
        <f t="shared" si="8"/>
        <v>10</v>
      </c>
      <c r="BY8" s="3">
        <v>0</v>
      </c>
      <c r="BZ8" s="3">
        <v>0</v>
      </c>
      <c r="CA8" s="3">
        <v>0</v>
      </c>
      <c r="CB8" s="3">
        <v>2</v>
      </c>
      <c r="CC8" s="3">
        <v>1</v>
      </c>
      <c r="CD8" s="3">
        <v>0</v>
      </c>
      <c r="CE8" s="3">
        <f t="shared" si="9"/>
        <v>3</v>
      </c>
    </row>
    <row r="9" spans="1:83" ht="15.75" x14ac:dyDescent="0.25">
      <c r="A9" s="11" t="s">
        <v>4</v>
      </c>
      <c r="B9" s="24">
        <f>SUM(C9:L9)</f>
        <v>56</v>
      </c>
      <c r="C9" s="22">
        <f>S9</f>
        <v>2</v>
      </c>
      <c r="D9" s="22">
        <f>Z9</f>
        <v>6</v>
      </c>
      <c r="E9" s="22">
        <f>AH9</f>
        <v>1</v>
      </c>
      <c r="F9" s="22">
        <f>AO9</f>
        <v>10</v>
      </c>
      <c r="G9" s="22">
        <f>AY9</f>
        <v>6</v>
      </c>
      <c r="H9" s="22">
        <f>BF9</f>
        <v>2</v>
      </c>
      <c r="I9" s="22">
        <f>BN9</f>
        <v>10</v>
      </c>
      <c r="J9" s="22">
        <f>BQ9</f>
        <v>10</v>
      </c>
      <c r="K9" s="22">
        <f>BW9</f>
        <v>2</v>
      </c>
      <c r="L9" s="22">
        <f>CE9</f>
        <v>7</v>
      </c>
      <c r="M9" s="3">
        <v>1</v>
      </c>
      <c r="N9" s="3">
        <v>1</v>
      </c>
      <c r="O9" s="3">
        <v>0</v>
      </c>
      <c r="P9" s="3">
        <v>0</v>
      </c>
      <c r="Q9" s="3">
        <v>0</v>
      </c>
      <c r="R9" s="3">
        <v>0</v>
      </c>
      <c r="S9" s="3">
        <f t="shared" si="0"/>
        <v>2</v>
      </c>
      <c r="T9" s="3">
        <v>1</v>
      </c>
      <c r="U9" s="3">
        <v>4</v>
      </c>
      <c r="V9" s="3">
        <v>1</v>
      </c>
      <c r="W9" s="3">
        <v>0</v>
      </c>
      <c r="X9" s="3">
        <v>0</v>
      </c>
      <c r="Y9" s="3">
        <v>0</v>
      </c>
      <c r="Z9" s="3">
        <f t="shared" si="1"/>
        <v>6</v>
      </c>
      <c r="AA9" s="3">
        <v>0</v>
      </c>
      <c r="AB9" s="3">
        <v>0</v>
      </c>
      <c r="AC9" s="3">
        <v>0</v>
      </c>
      <c r="AD9" s="3">
        <v>0</v>
      </c>
      <c r="AE9" s="3">
        <v>1</v>
      </c>
      <c r="AF9" s="3">
        <v>0</v>
      </c>
      <c r="AG9" s="3">
        <v>0</v>
      </c>
      <c r="AH9" s="3">
        <f t="shared" si="2"/>
        <v>1</v>
      </c>
      <c r="AL9" s="3">
        <v>3</v>
      </c>
      <c r="AM9" s="3">
        <v>4</v>
      </c>
      <c r="AN9" s="3">
        <v>3</v>
      </c>
      <c r="AO9" s="3">
        <f t="shared" si="3"/>
        <v>10</v>
      </c>
      <c r="AR9" s="3">
        <v>1</v>
      </c>
      <c r="AS9" s="3">
        <v>2</v>
      </c>
      <c r="AT9" s="3">
        <v>0</v>
      </c>
      <c r="AU9" s="3">
        <v>0</v>
      </c>
      <c r="AV9" s="3">
        <v>1</v>
      </c>
      <c r="AW9" s="3">
        <v>1</v>
      </c>
      <c r="AX9" s="3">
        <v>1</v>
      </c>
      <c r="AY9" s="3">
        <f t="shared" si="4"/>
        <v>6</v>
      </c>
      <c r="AZ9" s="3">
        <v>2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f t="shared" si="5"/>
        <v>2</v>
      </c>
      <c r="BG9" s="3">
        <v>1</v>
      </c>
      <c r="BH9" s="3">
        <v>1</v>
      </c>
      <c r="BI9" s="3">
        <v>2</v>
      </c>
      <c r="BJ9" s="3">
        <v>2</v>
      </c>
      <c r="BK9" s="3">
        <v>2</v>
      </c>
      <c r="BL9" s="3">
        <v>1</v>
      </c>
      <c r="BM9" s="3">
        <v>1</v>
      </c>
      <c r="BN9" s="3">
        <f t="shared" si="6"/>
        <v>10</v>
      </c>
      <c r="BO9" s="3">
        <v>5</v>
      </c>
      <c r="BP9" s="3">
        <v>5</v>
      </c>
      <c r="BQ9" s="3">
        <f t="shared" si="7"/>
        <v>10</v>
      </c>
      <c r="BR9" s="3">
        <v>1</v>
      </c>
      <c r="BS9" s="3">
        <v>1</v>
      </c>
      <c r="BT9" s="3">
        <v>0</v>
      </c>
      <c r="BU9" s="3">
        <v>0</v>
      </c>
      <c r="BV9" s="3">
        <v>0</v>
      </c>
      <c r="BW9" s="3">
        <f t="shared" si="8"/>
        <v>2</v>
      </c>
      <c r="BY9" s="3">
        <v>2</v>
      </c>
      <c r="BZ9" s="3">
        <v>1</v>
      </c>
      <c r="CA9" s="3">
        <v>2</v>
      </c>
      <c r="CB9" s="3">
        <v>0</v>
      </c>
      <c r="CC9" s="3">
        <v>1</v>
      </c>
      <c r="CD9" s="3">
        <v>1</v>
      </c>
      <c r="CE9" s="3">
        <f t="shared" si="9"/>
        <v>7</v>
      </c>
    </row>
    <row r="10" spans="1:83" ht="15.75" x14ac:dyDescent="0.25">
      <c r="A10" s="11" t="s">
        <v>57</v>
      </c>
      <c r="B10" s="24">
        <f t="shared" ref="B10:B14" si="21">SUM(C10:L10)</f>
        <v>51</v>
      </c>
      <c r="C10" s="22">
        <f t="shared" ref="C10:C14" si="22">S10</f>
        <v>5</v>
      </c>
      <c r="D10" s="22">
        <f t="shared" ref="D10:D14" si="23">Z10</f>
        <v>7</v>
      </c>
      <c r="E10" s="22">
        <f t="shared" ref="E10:E14" si="24">AH10</f>
        <v>0</v>
      </c>
      <c r="F10" s="22">
        <f t="shared" ref="F10:F14" si="25">AO10</f>
        <v>10</v>
      </c>
      <c r="G10" s="22">
        <f t="shared" ref="G10:G14" si="26">AY10</f>
        <v>5</v>
      </c>
      <c r="H10" s="22">
        <f t="shared" ref="H10:H14" si="27">BF10</f>
        <v>2</v>
      </c>
      <c r="I10" s="22">
        <f t="shared" ref="I10:I14" si="28">BN10</f>
        <v>8</v>
      </c>
      <c r="J10" s="22">
        <f t="shared" ref="J10:J14" si="29">BQ10</f>
        <v>10</v>
      </c>
      <c r="K10" s="22">
        <f t="shared" ref="K10:K14" si="30">BW10</f>
        <v>0</v>
      </c>
      <c r="L10" s="22">
        <f t="shared" ref="L10:L14" si="31">CE10</f>
        <v>4</v>
      </c>
      <c r="M10" s="3">
        <v>1</v>
      </c>
      <c r="N10" s="3">
        <v>1</v>
      </c>
      <c r="O10" s="3">
        <v>1</v>
      </c>
      <c r="P10" s="3">
        <v>2</v>
      </c>
      <c r="Q10" s="3">
        <v>0</v>
      </c>
      <c r="R10" s="3">
        <v>0</v>
      </c>
      <c r="S10" s="3">
        <f t="shared" si="0"/>
        <v>5</v>
      </c>
      <c r="T10" s="3">
        <v>1</v>
      </c>
      <c r="U10" s="3">
        <v>4</v>
      </c>
      <c r="V10" s="3">
        <v>1</v>
      </c>
      <c r="W10" s="3">
        <v>0</v>
      </c>
      <c r="X10" s="3">
        <v>1</v>
      </c>
      <c r="Y10" s="3">
        <v>0</v>
      </c>
      <c r="Z10" s="3">
        <f t="shared" si="1"/>
        <v>7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f t="shared" si="2"/>
        <v>0</v>
      </c>
      <c r="AL10" s="3">
        <v>3</v>
      </c>
      <c r="AM10" s="3">
        <v>4</v>
      </c>
      <c r="AN10" s="3">
        <v>3</v>
      </c>
      <c r="AO10" s="3">
        <f t="shared" si="3"/>
        <v>10</v>
      </c>
      <c r="AR10" s="3">
        <v>1</v>
      </c>
      <c r="AS10" s="3">
        <v>2</v>
      </c>
      <c r="AT10" s="3">
        <v>0</v>
      </c>
      <c r="AU10" s="3">
        <v>0</v>
      </c>
      <c r="AV10" s="3">
        <v>1</v>
      </c>
      <c r="AW10" s="3">
        <v>0</v>
      </c>
      <c r="AX10" s="3">
        <v>1</v>
      </c>
      <c r="AY10" s="3">
        <f t="shared" si="4"/>
        <v>5</v>
      </c>
      <c r="AZ10" s="3">
        <v>2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f t="shared" si="5"/>
        <v>2</v>
      </c>
      <c r="BG10" s="3">
        <v>1</v>
      </c>
      <c r="BH10" s="3">
        <v>1</v>
      </c>
      <c r="BI10" s="3">
        <v>2</v>
      </c>
      <c r="BJ10" s="3">
        <v>2</v>
      </c>
      <c r="BK10" s="3">
        <v>0</v>
      </c>
      <c r="BL10" s="3">
        <v>1</v>
      </c>
      <c r="BM10" s="3">
        <v>1</v>
      </c>
      <c r="BN10" s="3">
        <f t="shared" si="6"/>
        <v>8</v>
      </c>
      <c r="BO10" s="3">
        <v>5</v>
      </c>
      <c r="BP10" s="3">
        <v>5</v>
      </c>
      <c r="BQ10" s="3">
        <f t="shared" si="7"/>
        <v>10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f t="shared" si="8"/>
        <v>0</v>
      </c>
      <c r="BY10" s="3">
        <v>0</v>
      </c>
      <c r="BZ10" s="3">
        <v>0</v>
      </c>
      <c r="CA10" s="3">
        <v>2</v>
      </c>
      <c r="CB10" s="3">
        <v>0</v>
      </c>
      <c r="CC10" s="3">
        <v>1</v>
      </c>
      <c r="CD10" s="3">
        <v>1</v>
      </c>
      <c r="CE10" s="3">
        <f t="shared" si="9"/>
        <v>4</v>
      </c>
    </row>
    <row r="11" spans="1:83" ht="15.75" x14ac:dyDescent="0.25">
      <c r="A11" s="11" t="s">
        <v>19</v>
      </c>
      <c r="B11" s="24">
        <f t="shared" si="21"/>
        <v>30</v>
      </c>
      <c r="C11" s="22">
        <f t="shared" si="22"/>
        <v>0</v>
      </c>
      <c r="D11" s="22">
        <f t="shared" si="23"/>
        <v>4</v>
      </c>
      <c r="E11" s="22">
        <f t="shared" si="24"/>
        <v>0</v>
      </c>
      <c r="F11" s="22">
        <f t="shared" si="25"/>
        <v>6</v>
      </c>
      <c r="G11" s="22">
        <f t="shared" si="26"/>
        <v>6</v>
      </c>
      <c r="H11" s="22">
        <f t="shared" si="27"/>
        <v>5</v>
      </c>
      <c r="I11" s="22">
        <f t="shared" si="28"/>
        <v>2</v>
      </c>
      <c r="J11" s="22">
        <f t="shared" si="29"/>
        <v>0</v>
      </c>
      <c r="K11" s="22">
        <f t="shared" si="30"/>
        <v>6</v>
      </c>
      <c r="L11" s="22">
        <f t="shared" si="31"/>
        <v>1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f t="shared" si="0"/>
        <v>0</v>
      </c>
      <c r="T11" s="3">
        <v>0</v>
      </c>
      <c r="U11" s="3">
        <v>0</v>
      </c>
      <c r="V11" s="3">
        <v>1</v>
      </c>
      <c r="W11" s="3">
        <v>0</v>
      </c>
      <c r="X11" s="3">
        <v>1</v>
      </c>
      <c r="Y11" s="3">
        <v>2</v>
      </c>
      <c r="Z11" s="3">
        <f t="shared" si="1"/>
        <v>4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f t="shared" si="2"/>
        <v>0</v>
      </c>
      <c r="AL11" s="3">
        <v>3</v>
      </c>
      <c r="AM11" s="3">
        <v>0</v>
      </c>
      <c r="AN11" s="3">
        <v>3</v>
      </c>
      <c r="AO11" s="3">
        <f t="shared" si="3"/>
        <v>6</v>
      </c>
      <c r="AR11" s="3">
        <v>0</v>
      </c>
      <c r="AS11" s="3">
        <v>2</v>
      </c>
      <c r="AT11" s="3">
        <v>0</v>
      </c>
      <c r="AU11" s="3">
        <v>2</v>
      </c>
      <c r="AV11" s="3">
        <v>1</v>
      </c>
      <c r="AW11" s="3">
        <v>0</v>
      </c>
      <c r="AX11" s="3">
        <v>1</v>
      </c>
      <c r="AY11" s="3">
        <f t="shared" si="4"/>
        <v>6</v>
      </c>
      <c r="AZ11" s="3">
        <v>2</v>
      </c>
      <c r="BA11" s="3">
        <v>2</v>
      </c>
      <c r="BB11" s="3">
        <v>1</v>
      </c>
      <c r="BC11" s="3">
        <v>0</v>
      </c>
      <c r="BD11" s="3">
        <v>0</v>
      </c>
      <c r="BE11" s="3">
        <v>0</v>
      </c>
      <c r="BF11" s="3">
        <f t="shared" si="5"/>
        <v>5</v>
      </c>
      <c r="BG11" s="3">
        <v>1</v>
      </c>
      <c r="BH11" s="3">
        <v>1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f t="shared" si="6"/>
        <v>2</v>
      </c>
      <c r="BO11" s="3">
        <v>0</v>
      </c>
      <c r="BP11" s="3">
        <v>0</v>
      </c>
      <c r="BQ11" s="3">
        <f t="shared" si="7"/>
        <v>0</v>
      </c>
      <c r="BR11" s="3">
        <v>2</v>
      </c>
      <c r="BS11" s="3">
        <v>2</v>
      </c>
      <c r="BT11" s="3">
        <v>2</v>
      </c>
      <c r="BU11" s="3">
        <v>0</v>
      </c>
      <c r="BV11" s="3">
        <v>0</v>
      </c>
      <c r="BW11" s="3">
        <f t="shared" si="8"/>
        <v>6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1</v>
      </c>
      <c r="CE11" s="3">
        <f t="shared" si="9"/>
        <v>1</v>
      </c>
    </row>
    <row r="12" spans="1:83" ht="15.75" x14ac:dyDescent="0.25">
      <c r="A12" s="11" t="s">
        <v>51</v>
      </c>
      <c r="B12" s="24">
        <f t="shared" si="21"/>
        <v>57</v>
      </c>
      <c r="C12" s="22">
        <f t="shared" si="22"/>
        <v>6</v>
      </c>
      <c r="D12" s="22">
        <f t="shared" si="23"/>
        <v>10</v>
      </c>
      <c r="E12" s="22">
        <f t="shared" si="24"/>
        <v>1</v>
      </c>
      <c r="F12" s="22">
        <f t="shared" si="25"/>
        <v>6</v>
      </c>
      <c r="G12" s="22">
        <f t="shared" si="26"/>
        <v>7</v>
      </c>
      <c r="H12" s="22">
        <f t="shared" si="27"/>
        <v>6</v>
      </c>
      <c r="I12" s="22">
        <f t="shared" si="28"/>
        <v>5</v>
      </c>
      <c r="J12" s="22">
        <f t="shared" si="29"/>
        <v>10</v>
      </c>
      <c r="K12" s="22">
        <f t="shared" si="30"/>
        <v>2</v>
      </c>
      <c r="L12" s="22">
        <f t="shared" si="31"/>
        <v>4</v>
      </c>
      <c r="M12" s="3">
        <v>1</v>
      </c>
      <c r="N12" s="3">
        <v>1</v>
      </c>
      <c r="O12" s="3">
        <v>1</v>
      </c>
      <c r="P12" s="3">
        <v>2</v>
      </c>
      <c r="Q12" s="3">
        <v>0</v>
      </c>
      <c r="R12" s="3">
        <v>1</v>
      </c>
      <c r="S12" s="3">
        <f t="shared" si="0"/>
        <v>6</v>
      </c>
      <c r="T12" s="3">
        <v>1</v>
      </c>
      <c r="U12" s="3">
        <v>4</v>
      </c>
      <c r="V12" s="3">
        <v>1</v>
      </c>
      <c r="W12" s="3">
        <v>1</v>
      </c>
      <c r="X12" s="3">
        <v>1</v>
      </c>
      <c r="Y12" s="3">
        <v>2</v>
      </c>
      <c r="Z12" s="3">
        <f t="shared" si="1"/>
        <v>10</v>
      </c>
      <c r="AA12" s="3">
        <v>1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f t="shared" si="2"/>
        <v>1</v>
      </c>
      <c r="AL12" s="3">
        <v>3</v>
      </c>
      <c r="AM12" s="3">
        <v>0</v>
      </c>
      <c r="AN12" s="3">
        <v>3</v>
      </c>
      <c r="AO12" s="3">
        <f t="shared" si="3"/>
        <v>6</v>
      </c>
      <c r="AR12" s="3">
        <v>1</v>
      </c>
      <c r="AS12" s="3">
        <v>2</v>
      </c>
      <c r="AT12" s="3">
        <v>2</v>
      </c>
      <c r="AU12" s="3">
        <v>0</v>
      </c>
      <c r="AV12" s="3">
        <v>1</v>
      </c>
      <c r="AW12" s="3">
        <v>1</v>
      </c>
      <c r="AX12" s="3">
        <v>0</v>
      </c>
      <c r="AY12" s="3">
        <f t="shared" si="4"/>
        <v>7</v>
      </c>
      <c r="AZ12" s="3">
        <v>2</v>
      </c>
      <c r="BA12" s="3">
        <v>0</v>
      </c>
      <c r="BB12" s="3">
        <v>1</v>
      </c>
      <c r="BC12" s="3">
        <v>2</v>
      </c>
      <c r="BD12" s="3">
        <v>1</v>
      </c>
      <c r="BE12" s="3">
        <v>0</v>
      </c>
      <c r="BF12" s="3">
        <f t="shared" si="5"/>
        <v>6</v>
      </c>
      <c r="BG12" s="3">
        <v>1</v>
      </c>
      <c r="BH12" s="3">
        <v>1</v>
      </c>
      <c r="BI12" s="3">
        <v>0</v>
      </c>
      <c r="BJ12" s="3">
        <v>0</v>
      </c>
      <c r="BK12" s="3">
        <v>2</v>
      </c>
      <c r="BL12" s="3">
        <v>0</v>
      </c>
      <c r="BM12" s="3">
        <v>1</v>
      </c>
      <c r="BN12" s="3">
        <f t="shared" si="6"/>
        <v>5</v>
      </c>
      <c r="BO12" s="3">
        <v>5</v>
      </c>
      <c r="BP12" s="3">
        <v>5</v>
      </c>
      <c r="BQ12" s="3">
        <f t="shared" si="7"/>
        <v>10</v>
      </c>
      <c r="BR12" s="3">
        <v>0</v>
      </c>
      <c r="BS12" s="3">
        <v>2</v>
      </c>
      <c r="BT12" s="3">
        <v>0</v>
      </c>
      <c r="BU12" s="3">
        <v>0</v>
      </c>
      <c r="BV12" s="3">
        <v>0</v>
      </c>
      <c r="BW12" s="3">
        <f t="shared" si="8"/>
        <v>2</v>
      </c>
      <c r="BY12" s="3">
        <v>0</v>
      </c>
      <c r="BZ12" s="3">
        <v>0</v>
      </c>
      <c r="CA12" s="3">
        <v>2</v>
      </c>
      <c r="CB12" s="3">
        <v>0</v>
      </c>
      <c r="CC12" s="3">
        <v>1</v>
      </c>
      <c r="CD12" s="3">
        <v>1</v>
      </c>
      <c r="CE12" s="3">
        <f t="shared" si="9"/>
        <v>4</v>
      </c>
    </row>
    <row r="13" spans="1:83" ht="15.75" x14ac:dyDescent="0.25">
      <c r="A13" s="11" t="s">
        <v>36</v>
      </c>
      <c r="B13" s="24">
        <f t="shared" si="21"/>
        <v>80</v>
      </c>
      <c r="C13" s="22">
        <f t="shared" si="22"/>
        <v>9</v>
      </c>
      <c r="D13" s="22">
        <f t="shared" si="23"/>
        <v>10</v>
      </c>
      <c r="E13" s="22">
        <f t="shared" si="24"/>
        <v>7</v>
      </c>
      <c r="F13" s="22">
        <f t="shared" si="25"/>
        <v>10</v>
      </c>
      <c r="G13" s="22">
        <f t="shared" si="26"/>
        <v>5</v>
      </c>
      <c r="H13" s="22">
        <f t="shared" si="27"/>
        <v>9</v>
      </c>
      <c r="I13" s="22">
        <f t="shared" si="28"/>
        <v>10</v>
      </c>
      <c r="J13" s="22">
        <f t="shared" si="29"/>
        <v>10</v>
      </c>
      <c r="K13" s="22">
        <f t="shared" si="30"/>
        <v>0</v>
      </c>
      <c r="L13" s="22">
        <f t="shared" si="31"/>
        <v>10</v>
      </c>
      <c r="M13" s="3">
        <v>1</v>
      </c>
      <c r="N13" s="3">
        <v>1</v>
      </c>
      <c r="O13" s="3">
        <v>4</v>
      </c>
      <c r="P13" s="3">
        <v>2</v>
      </c>
      <c r="Q13" s="3">
        <v>1</v>
      </c>
      <c r="R13" s="3">
        <v>0</v>
      </c>
      <c r="S13" s="3">
        <f t="shared" si="0"/>
        <v>9</v>
      </c>
      <c r="T13" s="3">
        <v>1</v>
      </c>
      <c r="U13" s="3">
        <v>4</v>
      </c>
      <c r="V13" s="3">
        <v>1</v>
      </c>
      <c r="W13" s="3">
        <v>1</v>
      </c>
      <c r="X13" s="3">
        <v>1</v>
      </c>
      <c r="Y13" s="3">
        <v>2</v>
      </c>
      <c r="Z13" s="3">
        <f t="shared" si="1"/>
        <v>10</v>
      </c>
      <c r="AA13" s="3">
        <v>2</v>
      </c>
      <c r="AB13" s="3">
        <v>2</v>
      </c>
      <c r="AC13" s="3">
        <v>1</v>
      </c>
      <c r="AD13" s="3">
        <v>0</v>
      </c>
      <c r="AE13" s="3">
        <v>1</v>
      </c>
      <c r="AF13" s="3">
        <v>0</v>
      </c>
      <c r="AG13" s="3">
        <v>1</v>
      </c>
      <c r="AH13" s="3">
        <f t="shared" si="2"/>
        <v>7</v>
      </c>
      <c r="AL13" s="3">
        <v>3</v>
      </c>
      <c r="AM13" s="3">
        <v>4</v>
      </c>
      <c r="AN13" s="3">
        <v>3</v>
      </c>
      <c r="AO13" s="3">
        <f t="shared" si="3"/>
        <v>10</v>
      </c>
      <c r="AR13" s="3">
        <v>1</v>
      </c>
      <c r="AS13" s="3">
        <v>2</v>
      </c>
      <c r="AT13" s="3">
        <v>0</v>
      </c>
      <c r="AU13" s="3">
        <v>0</v>
      </c>
      <c r="AV13" s="3">
        <v>1</v>
      </c>
      <c r="AW13" s="3">
        <v>0</v>
      </c>
      <c r="AX13" s="3">
        <v>1</v>
      </c>
      <c r="AY13" s="3">
        <f t="shared" si="4"/>
        <v>5</v>
      </c>
      <c r="AZ13" s="3">
        <v>2</v>
      </c>
      <c r="BA13" s="3">
        <v>2</v>
      </c>
      <c r="BB13" s="3">
        <v>1</v>
      </c>
      <c r="BC13" s="3">
        <v>3</v>
      </c>
      <c r="BD13" s="3">
        <v>1</v>
      </c>
      <c r="BE13" s="3">
        <v>0</v>
      </c>
      <c r="BF13" s="3">
        <f t="shared" si="5"/>
        <v>9</v>
      </c>
      <c r="BG13" s="3">
        <v>1</v>
      </c>
      <c r="BH13" s="3">
        <v>1</v>
      </c>
      <c r="BI13" s="3">
        <v>2</v>
      </c>
      <c r="BJ13" s="3">
        <v>2</v>
      </c>
      <c r="BK13" s="3">
        <v>2</v>
      </c>
      <c r="BL13" s="3">
        <v>1</v>
      </c>
      <c r="BM13" s="3">
        <v>1</v>
      </c>
      <c r="BN13" s="3">
        <f t="shared" si="6"/>
        <v>10</v>
      </c>
      <c r="BO13" s="3">
        <v>5</v>
      </c>
      <c r="BP13" s="3">
        <v>5</v>
      </c>
      <c r="BQ13" s="3">
        <f t="shared" si="7"/>
        <v>10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f t="shared" si="8"/>
        <v>0</v>
      </c>
      <c r="BY13" s="3">
        <v>2</v>
      </c>
      <c r="BZ13" s="3">
        <v>2</v>
      </c>
      <c r="CA13" s="3">
        <v>2</v>
      </c>
      <c r="CB13" s="3">
        <v>2</v>
      </c>
      <c r="CC13" s="3">
        <v>1</v>
      </c>
      <c r="CD13" s="3">
        <v>1</v>
      </c>
      <c r="CE13" s="3">
        <f t="shared" si="9"/>
        <v>10</v>
      </c>
    </row>
    <row r="14" spans="1:83" ht="15.75" x14ac:dyDescent="0.25">
      <c r="A14" s="11" t="s">
        <v>30</v>
      </c>
      <c r="B14" s="24">
        <f t="shared" si="21"/>
        <v>62</v>
      </c>
      <c r="C14" s="22">
        <f t="shared" si="22"/>
        <v>4</v>
      </c>
      <c r="D14" s="22">
        <f t="shared" si="23"/>
        <v>9</v>
      </c>
      <c r="E14" s="22">
        <f t="shared" si="24"/>
        <v>1</v>
      </c>
      <c r="F14" s="22">
        <f t="shared" si="25"/>
        <v>7</v>
      </c>
      <c r="G14" s="22">
        <f t="shared" si="26"/>
        <v>6</v>
      </c>
      <c r="H14" s="22">
        <f t="shared" si="27"/>
        <v>7</v>
      </c>
      <c r="I14" s="22">
        <f t="shared" si="28"/>
        <v>10</v>
      </c>
      <c r="J14" s="22">
        <f t="shared" si="29"/>
        <v>6</v>
      </c>
      <c r="K14" s="22">
        <f t="shared" si="30"/>
        <v>9</v>
      </c>
      <c r="L14" s="22">
        <f t="shared" si="31"/>
        <v>3</v>
      </c>
      <c r="M14" s="3">
        <v>1</v>
      </c>
      <c r="N14" s="3">
        <v>1</v>
      </c>
      <c r="O14" s="3">
        <v>1</v>
      </c>
      <c r="P14" s="3">
        <v>1</v>
      </c>
      <c r="Q14" s="3">
        <v>0</v>
      </c>
      <c r="R14" s="3">
        <v>0</v>
      </c>
      <c r="S14" s="3">
        <f t="shared" si="0"/>
        <v>4</v>
      </c>
      <c r="T14" s="3">
        <v>1</v>
      </c>
      <c r="U14" s="3">
        <v>4</v>
      </c>
      <c r="V14" s="3">
        <v>1</v>
      </c>
      <c r="W14" s="3">
        <v>0</v>
      </c>
      <c r="X14" s="3">
        <v>1</v>
      </c>
      <c r="Y14" s="3">
        <v>2</v>
      </c>
      <c r="Z14" s="3">
        <f t="shared" si="1"/>
        <v>9</v>
      </c>
      <c r="AA14" s="3">
        <v>0</v>
      </c>
      <c r="AB14" s="3">
        <v>0</v>
      </c>
      <c r="AC14" s="3">
        <v>0</v>
      </c>
      <c r="AD14" s="3">
        <v>0</v>
      </c>
      <c r="AE14" s="3">
        <v>1</v>
      </c>
      <c r="AF14" s="3">
        <v>0</v>
      </c>
      <c r="AG14" s="3">
        <v>0</v>
      </c>
      <c r="AH14" s="3">
        <f t="shared" si="2"/>
        <v>1</v>
      </c>
      <c r="AL14" s="3">
        <v>3</v>
      </c>
      <c r="AM14" s="3">
        <v>4</v>
      </c>
      <c r="AN14" s="3">
        <v>0</v>
      </c>
      <c r="AO14" s="3">
        <f t="shared" si="3"/>
        <v>7</v>
      </c>
      <c r="AR14" s="3">
        <v>0</v>
      </c>
      <c r="AS14" s="3">
        <v>2</v>
      </c>
      <c r="AT14" s="3">
        <v>2</v>
      </c>
      <c r="AU14" s="3">
        <v>0</v>
      </c>
      <c r="AV14" s="3">
        <v>1</v>
      </c>
      <c r="AW14" s="3">
        <v>0</v>
      </c>
      <c r="AX14" s="3">
        <v>1</v>
      </c>
      <c r="AY14" s="3">
        <f t="shared" si="4"/>
        <v>6</v>
      </c>
      <c r="AZ14" s="3">
        <v>2</v>
      </c>
      <c r="BA14" s="3">
        <v>2</v>
      </c>
      <c r="BB14" s="3">
        <v>1</v>
      </c>
      <c r="BC14" s="3">
        <v>2</v>
      </c>
      <c r="BD14" s="3">
        <v>0</v>
      </c>
      <c r="BE14" s="3">
        <v>0</v>
      </c>
      <c r="BF14" s="3">
        <f t="shared" si="5"/>
        <v>7</v>
      </c>
      <c r="BG14" s="3">
        <v>1</v>
      </c>
      <c r="BH14" s="3">
        <v>1</v>
      </c>
      <c r="BI14" s="3">
        <v>2</v>
      </c>
      <c r="BJ14" s="3">
        <v>2</v>
      </c>
      <c r="BK14" s="3">
        <v>2</v>
      </c>
      <c r="BL14" s="3">
        <v>1</v>
      </c>
      <c r="BM14" s="3">
        <v>1</v>
      </c>
      <c r="BN14" s="3">
        <f t="shared" si="6"/>
        <v>10</v>
      </c>
      <c r="BO14" s="3">
        <v>5</v>
      </c>
      <c r="BP14" s="3">
        <v>1</v>
      </c>
      <c r="BQ14" s="3">
        <f t="shared" si="7"/>
        <v>6</v>
      </c>
      <c r="BR14" s="3">
        <v>4</v>
      </c>
      <c r="BS14" s="3">
        <v>2</v>
      </c>
      <c r="BT14" s="3">
        <v>2</v>
      </c>
      <c r="BU14" s="3">
        <v>1</v>
      </c>
      <c r="BV14" s="3">
        <v>0</v>
      </c>
      <c r="BW14" s="3">
        <f t="shared" si="8"/>
        <v>9</v>
      </c>
      <c r="BY14" s="3">
        <v>0</v>
      </c>
      <c r="BZ14" s="3">
        <v>1</v>
      </c>
      <c r="CA14" s="3">
        <v>0</v>
      </c>
      <c r="CB14" s="3">
        <v>0</v>
      </c>
      <c r="CC14" s="3">
        <v>1</v>
      </c>
      <c r="CD14" s="3">
        <v>1</v>
      </c>
      <c r="CE14" s="3">
        <f t="shared" si="9"/>
        <v>3</v>
      </c>
    </row>
    <row r="15" spans="1:83" ht="15.75" x14ac:dyDescent="0.25">
      <c r="A15" s="11" t="s">
        <v>5</v>
      </c>
      <c r="B15" s="24">
        <f>SUM(C15:L15)</f>
        <v>54</v>
      </c>
      <c r="C15" s="22">
        <f>S15</f>
        <v>4</v>
      </c>
      <c r="D15" s="22">
        <f>Z15</f>
        <v>7</v>
      </c>
      <c r="E15" s="22">
        <f>AH15</f>
        <v>5</v>
      </c>
      <c r="F15" s="22">
        <f>AO15</f>
        <v>4</v>
      </c>
      <c r="G15" s="22">
        <f>AY15</f>
        <v>4</v>
      </c>
      <c r="H15" s="22">
        <f>BF15</f>
        <v>9</v>
      </c>
      <c r="I15" s="22">
        <f>BN15</f>
        <v>10</v>
      </c>
      <c r="J15" s="22">
        <f>BQ15</f>
        <v>5</v>
      </c>
      <c r="K15" s="22">
        <f>BW15</f>
        <v>4</v>
      </c>
      <c r="L15" s="22">
        <f>CE15</f>
        <v>2</v>
      </c>
      <c r="M15" s="3">
        <v>1</v>
      </c>
      <c r="N15" s="3">
        <v>0</v>
      </c>
      <c r="O15" s="3">
        <v>0</v>
      </c>
      <c r="P15" s="3">
        <v>2</v>
      </c>
      <c r="Q15" s="3">
        <v>1</v>
      </c>
      <c r="R15" s="3">
        <v>0</v>
      </c>
      <c r="S15" s="3">
        <f t="shared" si="0"/>
        <v>4</v>
      </c>
      <c r="T15" s="3">
        <v>1</v>
      </c>
      <c r="U15" s="3">
        <v>4</v>
      </c>
      <c r="V15" s="3">
        <v>1</v>
      </c>
      <c r="W15" s="3">
        <v>0</v>
      </c>
      <c r="X15" s="3">
        <v>1</v>
      </c>
      <c r="Y15" s="3">
        <v>0</v>
      </c>
      <c r="Z15" s="3">
        <f t="shared" si="1"/>
        <v>7</v>
      </c>
      <c r="AA15" s="3">
        <v>1</v>
      </c>
      <c r="AB15" s="3">
        <v>1</v>
      </c>
      <c r="AC15" s="3">
        <v>1</v>
      </c>
      <c r="AD15" s="3">
        <v>0</v>
      </c>
      <c r="AE15" s="3">
        <v>1</v>
      </c>
      <c r="AF15" s="3">
        <v>1</v>
      </c>
      <c r="AG15" s="3">
        <v>0</v>
      </c>
      <c r="AH15" s="3">
        <f t="shared" si="2"/>
        <v>5</v>
      </c>
      <c r="AL15" s="3">
        <v>1</v>
      </c>
      <c r="AM15" s="3">
        <v>0</v>
      </c>
      <c r="AN15" s="3">
        <v>3</v>
      </c>
      <c r="AO15" s="3">
        <f t="shared" si="3"/>
        <v>4</v>
      </c>
      <c r="AR15" s="3">
        <v>1</v>
      </c>
      <c r="AS15" s="3">
        <v>2</v>
      </c>
      <c r="AT15" s="3">
        <v>0</v>
      </c>
      <c r="AU15" s="3">
        <v>0</v>
      </c>
      <c r="AV15" s="3">
        <v>1</v>
      </c>
      <c r="AW15" s="3">
        <v>0</v>
      </c>
      <c r="AX15" s="3">
        <v>0</v>
      </c>
      <c r="AY15" s="3">
        <f t="shared" si="4"/>
        <v>4</v>
      </c>
      <c r="AZ15" s="3">
        <v>2</v>
      </c>
      <c r="BA15" s="3">
        <v>2</v>
      </c>
      <c r="BB15" s="3">
        <v>1</v>
      </c>
      <c r="BC15" s="3">
        <v>3</v>
      </c>
      <c r="BD15" s="3">
        <v>1</v>
      </c>
      <c r="BE15" s="3">
        <v>0</v>
      </c>
      <c r="BF15" s="3">
        <f t="shared" si="5"/>
        <v>9</v>
      </c>
      <c r="BG15" s="3">
        <v>1</v>
      </c>
      <c r="BH15" s="3">
        <v>1</v>
      </c>
      <c r="BI15" s="3">
        <v>2</v>
      </c>
      <c r="BJ15" s="3">
        <v>2</v>
      </c>
      <c r="BK15" s="3">
        <v>2</v>
      </c>
      <c r="BL15" s="3">
        <v>1</v>
      </c>
      <c r="BM15" s="3">
        <v>1</v>
      </c>
      <c r="BN15" s="3">
        <f t="shared" si="6"/>
        <v>10</v>
      </c>
      <c r="BO15" s="3">
        <v>5</v>
      </c>
      <c r="BP15" s="3">
        <v>0</v>
      </c>
      <c r="BQ15" s="3">
        <f t="shared" si="7"/>
        <v>5</v>
      </c>
      <c r="BR15" s="3">
        <v>0</v>
      </c>
      <c r="BS15" s="3">
        <v>2</v>
      </c>
      <c r="BT15" s="3">
        <v>0</v>
      </c>
      <c r="BU15" s="3">
        <v>1</v>
      </c>
      <c r="BV15" s="3">
        <v>1</v>
      </c>
      <c r="BW15" s="3">
        <f t="shared" si="8"/>
        <v>4</v>
      </c>
      <c r="BY15" s="3">
        <v>2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f t="shared" si="9"/>
        <v>2</v>
      </c>
    </row>
    <row r="16" spans="1:83" ht="15.75" x14ac:dyDescent="0.25">
      <c r="A16" s="11" t="s">
        <v>27</v>
      </c>
      <c r="B16" s="24">
        <f t="shared" ref="B16:B19" si="32">SUM(C16:L16)</f>
        <v>66</v>
      </c>
      <c r="C16" s="22">
        <f t="shared" ref="C16:C19" si="33">S16</f>
        <v>6</v>
      </c>
      <c r="D16" s="22">
        <f t="shared" ref="D16:D19" si="34">Z16</f>
        <v>10</v>
      </c>
      <c r="E16" s="22">
        <f t="shared" ref="E16:E19" si="35">AH16</f>
        <v>0</v>
      </c>
      <c r="F16" s="22">
        <f t="shared" ref="F16:F19" si="36">AO16</f>
        <v>8</v>
      </c>
      <c r="G16" s="22">
        <f t="shared" ref="G16:G19" si="37">AY16</f>
        <v>8</v>
      </c>
      <c r="H16" s="22">
        <f t="shared" ref="H16:H19" si="38">BF16</f>
        <v>3</v>
      </c>
      <c r="I16" s="22">
        <f t="shared" ref="I16:I19" si="39">BN16</f>
        <v>10</v>
      </c>
      <c r="J16" s="22">
        <f t="shared" ref="J16:J19" si="40">BQ16</f>
        <v>10</v>
      </c>
      <c r="K16" s="22">
        <f t="shared" ref="K16:K19" si="41">BW16</f>
        <v>5</v>
      </c>
      <c r="L16" s="22">
        <f t="shared" ref="L16:L19" si="42">CE16</f>
        <v>6</v>
      </c>
      <c r="M16" s="3">
        <v>1</v>
      </c>
      <c r="N16" s="3">
        <v>1</v>
      </c>
      <c r="O16" s="3">
        <v>2</v>
      </c>
      <c r="P16" s="3">
        <v>2</v>
      </c>
      <c r="Q16" s="3">
        <v>0</v>
      </c>
      <c r="R16" s="3">
        <v>0</v>
      </c>
      <c r="S16" s="3">
        <f t="shared" si="0"/>
        <v>6</v>
      </c>
      <c r="T16" s="3">
        <v>1</v>
      </c>
      <c r="U16" s="3">
        <v>4</v>
      </c>
      <c r="V16" s="3">
        <v>1</v>
      </c>
      <c r="W16" s="3">
        <v>1</v>
      </c>
      <c r="X16" s="3">
        <v>1</v>
      </c>
      <c r="Y16" s="3">
        <v>2</v>
      </c>
      <c r="Z16" s="3">
        <f t="shared" si="1"/>
        <v>10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f t="shared" si="2"/>
        <v>0</v>
      </c>
      <c r="AL16" s="3">
        <v>3</v>
      </c>
      <c r="AM16" s="3">
        <v>2</v>
      </c>
      <c r="AN16" s="3">
        <v>3</v>
      </c>
      <c r="AO16" s="3">
        <f t="shared" si="3"/>
        <v>8</v>
      </c>
      <c r="AR16" s="3">
        <v>1</v>
      </c>
      <c r="AS16" s="3">
        <v>2</v>
      </c>
      <c r="AT16" s="3">
        <v>2</v>
      </c>
      <c r="AU16" s="3">
        <v>0</v>
      </c>
      <c r="AV16" s="3">
        <v>1</v>
      </c>
      <c r="AW16" s="3">
        <v>1</v>
      </c>
      <c r="AX16" s="3">
        <v>1</v>
      </c>
      <c r="AY16" s="3">
        <f t="shared" si="4"/>
        <v>8</v>
      </c>
      <c r="AZ16" s="3">
        <v>2</v>
      </c>
      <c r="BA16" s="3">
        <v>0</v>
      </c>
      <c r="BB16" s="3">
        <v>1</v>
      </c>
      <c r="BC16" s="3">
        <v>0</v>
      </c>
      <c r="BD16" s="3">
        <v>0</v>
      </c>
      <c r="BE16" s="3">
        <v>0</v>
      </c>
      <c r="BF16" s="3">
        <f t="shared" si="5"/>
        <v>3</v>
      </c>
      <c r="BG16" s="3">
        <v>1</v>
      </c>
      <c r="BH16" s="3">
        <v>1</v>
      </c>
      <c r="BI16" s="3">
        <v>2</v>
      </c>
      <c r="BJ16" s="3">
        <v>2</v>
      </c>
      <c r="BK16" s="3">
        <v>2</v>
      </c>
      <c r="BL16" s="3">
        <v>1</v>
      </c>
      <c r="BM16" s="3">
        <v>1</v>
      </c>
      <c r="BN16" s="3">
        <f t="shared" si="6"/>
        <v>10</v>
      </c>
      <c r="BO16" s="3">
        <v>5</v>
      </c>
      <c r="BP16" s="3">
        <v>5</v>
      </c>
      <c r="BQ16" s="3">
        <f t="shared" si="7"/>
        <v>10</v>
      </c>
      <c r="BR16" s="3">
        <v>2</v>
      </c>
      <c r="BS16" s="3">
        <v>1</v>
      </c>
      <c r="BT16" s="3">
        <v>0</v>
      </c>
      <c r="BU16" s="3">
        <v>1</v>
      </c>
      <c r="BV16" s="3">
        <v>1</v>
      </c>
      <c r="BW16" s="3">
        <f t="shared" si="8"/>
        <v>5</v>
      </c>
      <c r="BY16" s="3">
        <v>2</v>
      </c>
      <c r="BZ16" s="3">
        <v>0</v>
      </c>
      <c r="CA16" s="3">
        <v>2</v>
      </c>
      <c r="CB16" s="3">
        <v>0</v>
      </c>
      <c r="CC16" s="3">
        <v>1</v>
      </c>
      <c r="CD16" s="3">
        <v>1</v>
      </c>
      <c r="CE16" s="3">
        <f t="shared" si="9"/>
        <v>6</v>
      </c>
    </row>
    <row r="17" spans="1:83" ht="15.75" x14ac:dyDescent="0.25">
      <c r="A17" s="11" t="s">
        <v>6</v>
      </c>
      <c r="B17" s="24">
        <f t="shared" si="32"/>
        <v>76</v>
      </c>
      <c r="C17" s="22">
        <f t="shared" si="33"/>
        <v>9</v>
      </c>
      <c r="D17" s="22">
        <f t="shared" si="34"/>
        <v>9</v>
      </c>
      <c r="E17" s="22">
        <f t="shared" si="35"/>
        <v>1</v>
      </c>
      <c r="F17" s="22">
        <f t="shared" si="36"/>
        <v>6</v>
      </c>
      <c r="G17" s="22">
        <f t="shared" si="37"/>
        <v>4</v>
      </c>
      <c r="H17" s="22">
        <f t="shared" si="38"/>
        <v>9</v>
      </c>
      <c r="I17" s="22">
        <f t="shared" si="39"/>
        <v>10</v>
      </c>
      <c r="J17" s="22">
        <f t="shared" si="40"/>
        <v>10</v>
      </c>
      <c r="K17" s="22">
        <f t="shared" si="41"/>
        <v>9</v>
      </c>
      <c r="L17" s="22">
        <f t="shared" si="42"/>
        <v>9</v>
      </c>
      <c r="M17" s="3">
        <v>1</v>
      </c>
      <c r="N17" s="3">
        <v>1</v>
      </c>
      <c r="O17" s="3">
        <v>4</v>
      </c>
      <c r="P17" s="3">
        <v>2</v>
      </c>
      <c r="Q17" s="3">
        <v>1</v>
      </c>
      <c r="R17" s="3">
        <v>0</v>
      </c>
      <c r="S17" s="3">
        <f t="shared" si="0"/>
        <v>9</v>
      </c>
      <c r="T17" s="3">
        <v>1</v>
      </c>
      <c r="U17" s="3">
        <v>4</v>
      </c>
      <c r="V17" s="3">
        <v>1</v>
      </c>
      <c r="W17" s="3">
        <v>0</v>
      </c>
      <c r="X17" s="3">
        <v>1</v>
      </c>
      <c r="Y17" s="3">
        <v>2</v>
      </c>
      <c r="Z17" s="3">
        <f t="shared" si="1"/>
        <v>9</v>
      </c>
      <c r="AA17" s="3">
        <v>1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f t="shared" si="2"/>
        <v>1</v>
      </c>
      <c r="AL17" s="3">
        <v>3</v>
      </c>
      <c r="AM17" s="3">
        <v>0</v>
      </c>
      <c r="AN17" s="3">
        <v>3</v>
      </c>
      <c r="AO17" s="3">
        <f t="shared" si="3"/>
        <v>6</v>
      </c>
      <c r="AR17" s="3">
        <v>0</v>
      </c>
      <c r="AS17" s="3">
        <v>2</v>
      </c>
      <c r="AT17" s="3">
        <v>0</v>
      </c>
      <c r="AU17" s="3">
        <v>0</v>
      </c>
      <c r="AV17" s="3">
        <v>1</v>
      </c>
      <c r="AW17" s="3">
        <v>0</v>
      </c>
      <c r="AX17" s="3">
        <v>1</v>
      </c>
      <c r="AY17" s="3">
        <f t="shared" si="4"/>
        <v>4</v>
      </c>
      <c r="AZ17" s="3">
        <v>2</v>
      </c>
      <c r="BA17" s="3">
        <v>2</v>
      </c>
      <c r="BB17" s="3">
        <v>1</v>
      </c>
      <c r="BC17" s="3">
        <v>3</v>
      </c>
      <c r="BD17" s="3">
        <v>1</v>
      </c>
      <c r="BE17" s="3">
        <v>0</v>
      </c>
      <c r="BF17" s="3">
        <f t="shared" si="5"/>
        <v>9</v>
      </c>
      <c r="BG17" s="3">
        <v>1</v>
      </c>
      <c r="BH17" s="3">
        <v>1</v>
      </c>
      <c r="BI17" s="3">
        <v>2</v>
      </c>
      <c r="BJ17" s="3">
        <v>2</v>
      </c>
      <c r="BK17" s="3">
        <v>2</v>
      </c>
      <c r="BL17" s="3">
        <v>1</v>
      </c>
      <c r="BM17" s="3">
        <v>1</v>
      </c>
      <c r="BN17" s="3">
        <f t="shared" si="6"/>
        <v>10</v>
      </c>
      <c r="BO17" s="3">
        <v>5</v>
      </c>
      <c r="BP17" s="3">
        <v>5</v>
      </c>
      <c r="BQ17" s="3">
        <f t="shared" si="7"/>
        <v>10</v>
      </c>
      <c r="BR17" s="3">
        <v>4</v>
      </c>
      <c r="BS17" s="3">
        <v>2</v>
      </c>
      <c r="BT17" s="3">
        <v>2</v>
      </c>
      <c r="BU17" s="3">
        <v>1</v>
      </c>
      <c r="BV17" s="3">
        <v>0</v>
      </c>
      <c r="BW17" s="3">
        <f t="shared" si="8"/>
        <v>9</v>
      </c>
      <c r="BY17" s="3">
        <v>2</v>
      </c>
      <c r="BZ17" s="3">
        <v>2</v>
      </c>
      <c r="CA17" s="3">
        <v>2</v>
      </c>
      <c r="CB17" s="3">
        <v>2</v>
      </c>
      <c r="CC17" s="3">
        <v>0</v>
      </c>
      <c r="CD17" s="3">
        <v>1</v>
      </c>
      <c r="CE17" s="3">
        <f t="shared" si="9"/>
        <v>9</v>
      </c>
    </row>
    <row r="18" spans="1:83" ht="15.75" x14ac:dyDescent="0.25">
      <c r="A18" s="11" t="s">
        <v>50</v>
      </c>
      <c r="B18" s="24">
        <f t="shared" si="32"/>
        <v>47</v>
      </c>
      <c r="C18" s="22">
        <f t="shared" si="33"/>
        <v>0</v>
      </c>
      <c r="D18" s="22">
        <f t="shared" si="34"/>
        <v>7</v>
      </c>
      <c r="E18" s="22">
        <f t="shared" si="35"/>
        <v>0</v>
      </c>
      <c r="F18" s="22">
        <f t="shared" si="36"/>
        <v>6</v>
      </c>
      <c r="G18" s="22">
        <f t="shared" si="37"/>
        <v>4</v>
      </c>
      <c r="H18" s="22">
        <f t="shared" si="38"/>
        <v>2</v>
      </c>
      <c r="I18" s="22">
        <f t="shared" si="39"/>
        <v>10</v>
      </c>
      <c r="J18" s="22">
        <f t="shared" si="40"/>
        <v>10</v>
      </c>
      <c r="K18" s="22">
        <f t="shared" si="41"/>
        <v>0</v>
      </c>
      <c r="L18" s="22">
        <f t="shared" si="42"/>
        <v>8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f t="shared" si="0"/>
        <v>0</v>
      </c>
      <c r="T18" s="3">
        <v>1</v>
      </c>
      <c r="U18" s="3">
        <v>4</v>
      </c>
      <c r="V18" s="3">
        <v>1</v>
      </c>
      <c r="W18" s="3">
        <v>0</v>
      </c>
      <c r="X18" s="3">
        <v>1</v>
      </c>
      <c r="Y18" s="3">
        <v>0</v>
      </c>
      <c r="Z18" s="3">
        <f t="shared" si="1"/>
        <v>7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f t="shared" si="2"/>
        <v>0</v>
      </c>
      <c r="AL18" s="3">
        <v>3</v>
      </c>
      <c r="AM18" s="3">
        <v>0</v>
      </c>
      <c r="AN18" s="3">
        <v>3</v>
      </c>
      <c r="AO18" s="3">
        <f t="shared" si="3"/>
        <v>6</v>
      </c>
      <c r="AR18" s="3">
        <v>0</v>
      </c>
      <c r="AS18" s="3">
        <v>2</v>
      </c>
      <c r="AT18" s="3">
        <v>0</v>
      </c>
      <c r="AU18" s="3">
        <v>0</v>
      </c>
      <c r="AV18" s="3">
        <v>1</v>
      </c>
      <c r="AW18" s="3">
        <v>0</v>
      </c>
      <c r="AX18" s="3">
        <v>1</v>
      </c>
      <c r="AY18" s="3">
        <f t="shared" si="4"/>
        <v>4</v>
      </c>
      <c r="AZ18" s="3">
        <v>2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f t="shared" si="5"/>
        <v>2</v>
      </c>
      <c r="BG18" s="3">
        <v>1</v>
      </c>
      <c r="BH18" s="3">
        <v>1</v>
      </c>
      <c r="BI18" s="3">
        <v>2</v>
      </c>
      <c r="BJ18" s="3">
        <v>2</v>
      </c>
      <c r="BK18" s="3">
        <v>2</v>
      </c>
      <c r="BL18" s="3">
        <v>1</v>
      </c>
      <c r="BM18" s="3">
        <v>1</v>
      </c>
      <c r="BN18" s="3">
        <f t="shared" si="6"/>
        <v>10</v>
      </c>
      <c r="BO18" s="3">
        <v>5</v>
      </c>
      <c r="BP18" s="3">
        <v>5</v>
      </c>
      <c r="BQ18" s="3">
        <f t="shared" si="7"/>
        <v>10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f t="shared" si="8"/>
        <v>0</v>
      </c>
      <c r="BY18" s="3">
        <v>2</v>
      </c>
      <c r="BZ18" s="3">
        <v>2</v>
      </c>
      <c r="CA18" s="3">
        <v>2</v>
      </c>
      <c r="CB18" s="3">
        <v>1</v>
      </c>
      <c r="CC18" s="3">
        <v>1</v>
      </c>
      <c r="CD18" s="3">
        <v>0</v>
      </c>
      <c r="CE18" s="3">
        <f t="shared" si="9"/>
        <v>8</v>
      </c>
    </row>
    <row r="19" spans="1:83" ht="15.75" x14ac:dyDescent="0.25">
      <c r="A19" s="11" t="s">
        <v>25</v>
      </c>
      <c r="B19" s="24">
        <f t="shared" si="32"/>
        <v>50</v>
      </c>
      <c r="C19" s="22">
        <f t="shared" si="33"/>
        <v>4</v>
      </c>
      <c r="D19" s="22">
        <f t="shared" si="34"/>
        <v>8</v>
      </c>
      <c r="E19" s="22">
        <f t="shared" si="35"/>
        <v>1</v>
      </c>
      <c r="F19" s="22">
        <f t="shared" si="36"/>
        <v>10</v>
      </c>
      <c r="G19" s="22">
        <f t="shared" si="37"/>
        <v>7</v>
      </c>
      <c r="H19" s="22">
        <f t="shared" si="38"/>
        <v>7</v>
      </c>
      <c r="I19" s="22">
        <f t="shared" si="39"/>
        <v>3</v>
      </c>
      <c r="J19" s="22">
        <f t="shared" si="40"/>
        <v>8</v>
      </c>
      <c r="K19" s="22">
        <f t="shared" si="41"/>
        <v>0</v>
      </c>
      <c r="L19" s="22">
        <f t="shared" si="42"/>
        <v>2</v>
      </c>
      <c r="M19" s="3">
        <v>1</v>
      </c>
      <c r="N19" s="3">
        <v>0</v>
      </c>
      <c r="O19" s="3">
        <v>1</v>
      </c>
      <c r="P19" s="3">
        <v>2</v>
      </c>
      <c r="Q19" s="3">
        <v>0</v>
      </c>
      <c r="R19" s="3">
        <v>0</v>
      </c>
      <c r="S19" s="3">
        <f t="shared" si="0"/>
        <v>4</v>
      </c>
      <c r="T19" s="3">
        <v>1</v>
      </c>
      <c r="U19" s="3">
        <v>4</v>
      </c>
      <c r="V19" s="3">
        <v>1</v>
      </c>
      <c r="W19" s="3">
        <v>1</v>
      </c>
      <c r="X19" s="3">
        <v>1</v>
      </c>
      <c r="Y19" s="3">
        <v>0</v>
      </c>
      <c r="Z19" s="3">
        <f t="shared" si="1"/>
        <v>8</v>
      </c>
      <c r="AA19" s="3">
        <v>1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f t="shared" si="2"/>
        <v>1</v>
      </c>
      <c r="AL19" s="3">
        <v>3</v>
      </c>
      <c r="AM19" s="3">
        <v>4</v>
      </c>
      <c r="AN19" s="3">
        <v>3</v>
      </c>
      <c r="AO19" s="3">
        <f t="shared" si="3"/>
        <v>10</v>
      </c>
      <c r="AR19" s="3">
        <v>1</v>
      </c>
      <c r="AS19" s="3">
        <v>2</v>
      </c>
      <c r="AT19" s="3">
        <v>0</v>
      </c>
      <c r="AU19" s="3">
        <v>2</v>
      </c>
      <c r="AV19" s="3">
        <v>1</v>
      </c>
      <c r="AW19" s="3">
        <v>0</v>
      </c>
      <c r="AX19" s="3">
        <v>1</v>
      </c>
      <c r="AY19" s="3">
        <f t="shared" si="4"/>
        <v>7</v>
      </c>
      <c r="AZ19" s="3">
        <v>2</v>
      </c>
      <c r="BA19" s="3">
        <v>0</v>
      </c>
      <c r="BB19" s="3">
        <v>1</v>
      </c>
      <c r="BC19" s="3">
        <v>3</v>
      </c>
      <c r="BD19" s="3">
        <v>1</v>
      </c>
      <c r="BE19" s="3">
        <v>0</v>
      </c>
      <c r="BF19" s="3">
        <f t="shared" si="5"/>
        <v>7</v>
      </c>
      <c r="BG19" s="3">
        <v>1</v>
      </c>
      <c r="BH19" s="3">
        <v>1</v>
      </c>
      <c r="BI19" s="3">
        <v>1</v>
      </c>
      <c r="BJ19" s="3">
        <v>0</v>
      </c>
      <c r="BK19" s="3">
        <v>0</v>
      </c>
      <c r="BL19" s="3">
        <v>0</v>
      </c>
      <c r="BM19" s="3">
        <v>0</v>
      </c>
      <c r="BN19" s="3">
        <f t="shared" si="6"/>
        <v>3</v>
      </c>
      <c r="BO19" s="3">
        <v>5</v>
      </c>
      <c r="BP19" s="3">
        <v>3</v>
      </c>
      <c r="BQ19" s="3">
        <f t="shared" si="7"/>
        <v>8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f t="shared" si="8"/>
        <v>0</v>
      </c>
      <c r="BY19" s="3">
        <v>0</v>
      </c>
      <c r="BZ19" s="3">
        <v>0</v>
      </c>
      <c r="CA19" s="3">
        <v>0</v>
      </c>
      <c r="CB19" s="3">
        <v>0</v>
      </c>
      <c r="CC19" s="3">
        <v>1</v>
      </c>
      <c r="CD19" s="3">
        <v>1</v>
      </c>
      <c r="CE19" s="3">
        <f t="shared" si="9"/>
        <v>2</v>
      </c>
    </row>
    <row r="20" spans="1:83" ht="15.75" x14ac:dyDescent="0.25">
      <c r="A20" s="11" t="s">
        <v>46</v>
      </c>
      <c r="B20" s="24">
        <f>SUM(C20:L20)</f>
        <v>89</v>
      </c>
      <c r="C20" s="22">
        <f>S20</f>
        <v>10</v>
      </c>
      <c r="D20" s="22">
        <f>Z20</f>
        <v>10</v>
      </c>
      <c r="E20" s="22">
        <f>AH20</f>
        <v>6</v>
      </c>
      <c r="F20" s="22">
        <f>AO20</f>
        <v>6</v>
      </c>
      <c r="G20" s="22">
        <f>AY20</f>
        <v>8</v>
      </c>
      <c r="H20" s="22">
        <f>BF20</f>
        <v>9</v>
      </c>
      <c r="I20" s="22">
        <f>BN20</f>
        <v>10</v>
      </c>
      <c r="J20" s="22">
        <f>BQ20</f>
        <v>10</v>
      </c>
      <c r="K20" s="22">
        <f>BW20</f>
        <v>10</v>
      </c>
      <c r="L20" s="22">
        <f>CE20</f>
        <v>10</v>
      </c>
      <c r="M20" s="3">
        <v>1</v>
      </c>
      <c r="N20" s="3">
        <v>1</v>
      </c>
      <c r="O20" s="3">
        <v>4</v>
      </c>
      <c r="P20" s="3">
        <v>2</v>
      </c>
      <c r="Q20" s="3">
        <v>1</v>
      </c>
      <c r="R20" s="3">
        <v>1</v>
      </c>
      <c r="S20" s="3">
        <f t="shared" si="0"/>
        <v>10</v>
      </c>
      <c r="T20" s="3">
        <v>1</v>
      </c>
      <c r="U20" s="3">
        <v>4</v>
      </c>
      <c r="V20" s="3">
        <v>1</v>
      </c>
      <c r="W20" s="3">
        <v>1</v>
      </c>
      <c r="X20" s="3">
        <v>1</v>
      </c>
      <c r="Y20" s="3">
        <v>2</v>
      </c>
      <c r="Z20" s="3">
        <f t="shared" si="1"/>
        <v>10</v>
      </c>
      <c r="AA20" s="3">
        <v>2</v>
      </c>
      <c r="AB20" s="3">
        <v>1</v>
      </c>
      <c r="AC20" s="3">
        <v>1</v>
      </c>
      <c r="AD20" s="3">
        <v>0</v>
      </c>
      <c r="AE20" s="3">
        <v>1</v>
      </c>
      <c r="AF20" s="3">
        <v>0</v>
      </c>
      <c r="AG20" s="3">
        <v>1</v>
      </c>
      <c r="AH20" s="3">
        <f t="shared" si="2"/>
        <v>6</v>
      </c>
      <c r="AL20" s="3">
        <v>3</v>
      </c>
      <c r="AM20" s="3">
        <v>0</v>
      </c>
      <c r="AN20" s="3">
        <v>3</v>
      </c>
      <c r="AO20" s="3">
        <f t="shared" si="3"/>
        <v>6</v>
      </c>
      <c r="AR20" s="3">
        <v>1</v>
      </c>
      <c r="AS20" s="3">
        <v>2</v>
      </c>
      <c r="AT20" s="3">
        <v>2</v>
      </c>
      <c r="AU20" s="3">
        <v>0</v>
      </c>
      <c r="AV20" s="3">
        <v>1</v>
      </c>
      <c r="AW20" s="3">
        <v>1</v>
      </c>
      <c r="AX20" s="3">
        <v>1</v>
      </c>
      <c r="AY20" s="3">
        <f t="shared" si="4"/>
        <v>8</v>
      </c>
      <c r="AZ20" s="3">
        <v>2</v>
      </c>
      <c r="BA20" s="3">
        <v>2</v>
      </c>
      <c r="BB20" s="3">
        <v>1</v>
      </c>
      <c r="BC20" s="3">
        <v>3</v>
      </c>
      <c r="BD20" s="3">
        <v>1</v>
      </c>
      <c r="BE20" s="3">
        <v>0</v>
      </c>
      <c r="BF20" s="3">
        <f t="shared" si="5"/>
        <v>9</v>
      </c>
      <c r="BG20" s="3">
        <v>1</v>
      </c>
      <c r="BH20" s="3">
        <v>1</v>
      </c>
      <c r="BI20" s="3">
        <v>2</v>
      </c>
      <c r="BJ20" s="3">
        <v>2</v>
      </c>
      <c r="BK20" s="3">
        <v>2</v>
      </c>
      <c r="BL20" s="3">
        <v>1</v>
      </c>
      <c r="BM20" s="3">
        <v>1</v>
      </c>
      <c r="BN20" s="3">
        <f t="shared" si="6"/>
        <v>10</v>
      </c>
      <c r="BO20" s="3">
        <v>5</v>
      </c>
      <c r="BP20" s="3">
        <v>5</v>
      </c>
      <c r="BQ20" s="3">
        <f t="shared" si="7"/>
        <v>10</v>
      </c>
      <c r="BR20" s="3">
        <v>4</v>
      </c>
      <c r="BS20" s="3">
        <v>2</v>
      </c>
      <c r="BT20" s="3">
        <v>2</v>
      </c>
      <c r="BU20" s="3">
        <v>1</v>
      </c>
      <c r="BV20" s="3">
        <v>1</v>
      </c>
      <c r="BW20" s="3">
        <f t="shared" si="8"/>
        <v>10</v>
      </c>
      <c r="BY20" s="3">
        <v>2</v>
      </c>
      <c r="BZ20" s="3">
        <v>2</v>
      </c>
      <c r="CA20" s="3">
        <v>2</v>
      </c>
      <c r="CB20" s="3">
        <v>2</v>
      </c>
      <c r="CC20" s="3">
        <v>1</v>
      </c>
      <c r="CD20" s="3">
        <v>1</v>
      </c>
      <c r="CE20" s="3">
        <f t="shared" si="9"/>
        <v>10</v>
      </c>
    </row>
    <row r="21" spans="1:83" ht="15.75" x14ac:dyDescent="0.25">
      <c r="A21" s="11" t="s">
        <v>14</v>
      </c>
      <c r="B21" s="24">
        <f t="shared" ref="B21:B22" si="43">SUM(C21:L21)</f>
        <v>18</v>
      </c>
      <c r="C21" s="22">
        <f t="shared" ref="C21:C22" si="44">S21</f>
        <v>2</v>
      </c>
      <c r="D21" s="22">
        <f t="shared" ref="D21:D22" si="45">Z21</f>
        <v>0</v>
      </c>
      <c r="E21" s="22">
        <f t="shared" ref="E21:E22" si="46">AH21</f>
        <v>0</v>
      </c>
      <c r="F21" s="22">
        <f t="shared" ref="F21:F22" si="47">AO21</f>
        <v>6</v>
      </c>
      <c r="G21" s="22">
        <f t="shared" ref="G21:G22" si="48">AY21</f>
        <v>1</v>
      </c>
      <c r="H21" s="22">
        <f t="shared" ref="H21:H22" si="49">BF21</f>
        <v>4</v>
      </c>
      <c r="I21" s="22">
        <f t="shared" ref="I21:I22" si="50">BN21</f>
        <v>0</v>
      </c>
      <c r="J21" s="22">
        <f t="shared" ref="J21:J22" si="51">BQ21</f>
        <v>5</v>
      </c>
      <c r="K21" s="22">
        <f t="shared" ref="K21:K22" si="52">BW21</f>
        <v>0</v>
      </c>
      <c r="L21" s="22">
        <f t="shared" ref="L21:L22" si="53">CE21</f>
        <v>0</v>
      </c>
      <c r="M21" s="3">
        <v>1</v>
      </c>
      <c r="N21" s="3">
        <v>1</v>
      </c>
      <c r="O21" s="3">
        <v>0</v>
      </c>
      <c r="P21" s="3">
        <v>0</v>
      </c>
      <c r="Q21" s="3">
        <v>0</v>
      </c>
      <c r="R21" s="3">
        <v>0</v>
      </c>
      <c r="S21" s="3">
        <f t="shared" si="0"/>
        <v>2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f t="shared" si="1"/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f t="shared" si="2"/>
        <v>0</v>
      </c>
      <c r="AL21" s="3">
        <v>3</v>
      </c>
      <c r="AM21" s="3">
        <v>0</v>
      </c>
      <c r="AN21" s="3">
        <v>3</v>
      </c>
      <c r="AO21" s="3">
        <f t="shared" si="3"/>
        <v>6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1</v>
      </c>
      <c r="AY21" s="3">
        <f t="shared" si="4"/>
        <v>1</v>
      </c>
      <c r="AZ21" s="3">
        <v>2</v>
      </c>
      <c r="BA21" s="3">
        <v>2</v>
      </c>
      <c r="BB21" s="3">
        <v>0</v>
      </c>
      <c r="BC21" s="3">
        <v>0</v>
      </c>
      <c r="BD21" s="3">
        <v>0</v>
      </c>
      <c r="BE21" s="3">
        <v>0</v>
      </c>
      <c r="BF21" s="3">
        <f t="shared" si="5"/>
        <v>4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f t="shared" si="6"/>
        <v>0</v>
      </c>
      <c r="BO21" s="3">
        <v>3</v>
      </c>
      <c r="BP21" s="3">
        <v>2</v>
      </c>
      <c r="BQ21" s="3">
        <f t="shared" si="7"/>
        <v>5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f t="shared" si="8"/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f t="shared" si="9"/>
        <v>0</v>
      </c>
    </row>
    <row r="22" spans="1:83" ht="15.75" x14ac:dyDescent="0.25">
      <c r="A22" s="11" t="s">
        <v>12</v>
      </c>
      <c r="B22" s="24">
        <f t="shared" si="43"/>
        <v>52</v>
      </c>
      <c r="C22" s="22">
        <f t="shared" si="44"/>
        <v>5</v>
      </c>
      <c r="D22" s="22">
        <f t="shared" si="45"/>
        <v>7</v>
      </c>
      <c r="E22" s="22">
        <f t="shared" si="46"/>
        <v>0</v>
      </c>
      <c r="F22" s="22">
        <f t="shared" si="47"/>
        <v>10</v>
      </c>
      <c r="G22" s="22">
        <f t="shared" si="48"/>
        <v>4</v>
      </c>
      <c r="H22" s="22">
        <f t="shared" si="49"/>
        <v>3</v>
      </c>
      <c r="I22" s="22">
        <f t="shared" si="50"/>
        <v>5</v>
      </c>
      <c r="J22" s="22">
        <f t="shared" si="51"/>
        <v>10</v>
      </c>
      <c r="K22" s="22">
        <f t="shared" si="52"/>
        <v>2</v>
      </c>
      <c r="L22" s="22">
        <f t="shared" si="53"/>
        <v>6</v>
      </c>
      <c r="M22" s="3">
        <v>1</v>
      </c>
      <c r="N22" s="3">
        <v>1</v>
      </c>
      <c r="O22" s="3">
        <v>1</v>
      </c>
      <c r="P22" s="3">
        <v>2</v>
      </c>
      <c r="Q22" s="3">
        <v>0</v>
      </c>
      <c r="R22" s="3">
        <v>0</v>
      </c>
      <c r="S22" s="3">
        <f t="shared" si="0"/>
        <v>5</v>
      </c>
      <c r="T22" s="3">
        <v>1</v>
      </c>
      <c r="U22" s="3">
        <v>4</v>
      </c>
      <c r="V22" s="3">
        <v>1</v>
      </c>
      <c r="W22" s="3">
        <v>0</v>
      </c>
      <c r="X22" s="3">
        <v>1</v>
      </c>
      <c r="Y22" s="3">
        <v>0</v>
      </c>
      <c r="Z22" s="3">
        <f t="shared" si="1"/>
        <v>7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f t="shared" si="2"/>
        <v>0</v>
      </c>
      <c r="AL22" s="3">
        <v>3</v>
      </c>
      <c r="AM22" s="3">
        <v>4</v>
      </c>
      <c r="AN22" s="3">
        <v>3</v>
      </c>
      <c r="AO22" s="3">
        <f t="shared" si="3"/>
        <v>10</v>
      </c>
      <c r="AR22" s="3">
        <v>0</v>
      </c>
      <c r="AS22" s="3">
        <v>2</v>
      </c>
      <c r="AT22" s="3">
        <v>0</v>
      </c>
      <c r="AU22" s="3">
        <v>0</v>
      </c>
      <c r="AV22" s="3">
        <v>1</v>
      </c>
      <c r="AW22" s="3">
        <v>0</v>
      </c>
      <c r="AX22" s="3">
        <v>1</v>
      </c>
      <c r="AY22" s="3">
        <f t="shared" si="4"/>
        <v>4</v>
      </c>
      <c r="AZ22" s="3">
        <v>2</v>
      </c>
      <c r="BA22" s="3">
        <v>0</v>
      </c>
      <c r="BB22" s="3">
        <v>1</v>
      </c>
      <c r="BC22" s="3">
        <v>0</v>
      </c>
      <c r="BD22" s="3">
        <v>0</v>
      </c>
      <c r="BE22" s="3">
        <v>0</v>
      </c>
      <c r="BF22" s="3">
        <f t="shared" si="5"/>
        <v>3</v>
      </c>
      <c r="BG22" s="3">
        <v>1</v>
      </c>
      <c r="BH22" s="3">
        <v>1</v>
      </c>
      <c r="BI22" s="3">
        <v>0</v>
      </c>
      <c r="BJ22" s="3">
        <v>2</v>
      </c>
      <c r="BK22" s="3">
        <v>0</v>
      </c>
      <c r="BL22" s="3">
        <v>1</v>
      </c>
      <c r="BM22" s="3">
        <v>0</v>
      </c>
      <c r="BN22" s="3">
        <f t="shared" si="6"/>
        <v>5</v>
      </c>
      <c r="BO22" s="3">
        <v>5</v>
      </c>
      <c r="BP22" s="3">
        <v>5</v>
      </c>
      <c r="BQ22" s="3">
        <f t="shared" si="7"/>
        <v>10</v>
      </c>
      <c r="BR22" s="3">
        <v>0</v>
      </c>
      <c r="BS22" s="3">
        <v>2</v>
      </c>
      <c r="BT22" s="3">
        <v>0</v>
      </c>
      <c r="BU22" s="3">
        <v>0</v>
      </c>
      <c r="BV22" s="3">
        <v>0</v>
      </c>
      <c r="BW22" s="3">
        <f t="shared" si="8"/>
        <v>2</v>
      </c>
      <c r="BY22" s="3">
        <v>2</v>
      </c>
      <c r="BZ22" s="3">
        <v>0</v>
      </c>
      <c r="CA22" s="3">
        <v>2</v>
      </c>
      <c r="CB22" s="3">
        <v>0</v>
      </c>
      <c r="CC22" s="3">
        <v>1</v>
      </c>
      <c r="CD22" s="3">
        <v>1</v>
      </c>
      <c r="CE22" s="3">
        <f t="shared" si="9"/>
        <v>6</v>
      </c>
    </row>
    <row r="23" spans="1:83" ht="15.75" x14ac:dyDescent="0.25">
      <c r="A23" s="11" t="s">
        <v>205</v>
      </c>
      <c r="B23" s="1">
        <f>COUNT(B6:B22)</f>
        <v>17</v>
      </c>
    </row>
    <row r="24" spans="1:83" ht="15.75" x14ac:dyDescent="0.25">
      <c r="A24" s="26" t="s">
        <v>202</v>
      </c>
      <c r="B24" s="28">
        <f>AVERAGE(B8:B22)</f>
        <v>56.266666666666666</v>
      </c>
      <c r="C24" s="27">
        <f>AVERAGE(C8:C22)</f>
        <v>4.7333333333333334</v>
      </c>
      <c r="D24" s="27">
        <f t="shared" ref="D24:L24" si="54">AVERAGE(D8:D22)</f>
        <v>7.2666666666666666</v>
      </c>
      <c r="E24" s="27">
        <f t="shared" si="54"/>
        <v>1.6666666666666667</v>
      </c>
      <c r="F24" s="27">
        <f t="shared" si="54"/>
        <v>7.4</v>
      </c>
      <c r="G24" s="27">
        <f t="shared" si="54"/>
        <v>5.2666666666666666</v>
      </c>
      <c r="H24" s="27">
        <f t="shared" si="54"/>
        <v>5.333333333333333</v>
      </c>
      <c r="I24" s="27">
        <f t="shared" si="54"/>
        <v>7.5333333333333332</v>
      </c>
      <c r="J24" s="27">
        <f t="shared" si="54"/>
        <v>8.1333333333333329</v>
      </c>
      <c r="K24" s="27">
        <f t="shared" si="54"/>
        <v>3.9333333333333331</v>
      </c>
      <c r="L24" s="27">
        <f t="shared" si="54"/>
        <v>5</v>
      </c>
      <c r="M24" s="3"/>
      <c r="N24" s="3"/>
      <c r="O24" s="3">
        <v>10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83" ht="175.5" customHeight="1" x14ac:dyDescent="0.25">
      <c r="B25" s="23" t="s">
        <v>201</v>
      </c>
      <c r="C25" s="10">
        <v>1</v>
      </c>
      <c r="D25" s="10">
        <v>2</v>
      </c>
      <c r="E25" s="10">
        <v>3</v>
      </c>
      <c r="F25" s="10">
        <v>4</v>
      </c>
      <c r="G25" s="10">
        <v>5</v>
      </c>
      <c r="H25" s="10">
        <v>6</v>
      </c>
      <c r="I25" s="10" t="s">
        <v>204</v>
      </c>
      <c r="J25" s="10">
        <v>8</v>
      </c>
      <c r="K25" s="10">
        <v>9</v>
      </c>
      <c r="L25" s="10">
        <v>10</v>
      </c>
      <c r="M25" s="10" t="s">
        <v>115</v>
      </c>
      <c r="N25" s="8" t="s">
        <v>116</v>
      </c>
      <c r="O25" s="8" t="s">
        <v>117</v>
      </c>
      <c r="P25" s="8" t="s">
        <v>118</v>
      </c>
      <c r="Q25" s="8" t="s">
        <v>119</v>
      </c>
      <c r="R25" s="3"/>
      <c r="S25" s="3"/>
      <c r="T25" s="10" t="s">
        <v>120</v>
      </c>
      <c r="U25" s="10" t="s">
        <v>121</v>
      </c>
      <c r="V25" s="10" t="s">
        <v>122</v>
      </c>
      <c r="W25" s="10" t="s">
        <v>123</v>
      </c>
      <c r="X25" s="10" t="s">
        <v>124</v>
      </c>
      <c r="Y25" s="10" t="s">
        <v>125</v>
      </c>
      <c r="Z25" s="3"/>
      <c r="AA25" s="8" t="s">
        <v>126</v>
      </c>
      <c r="AB25" s="8" t="s">
        <v>127</v>
      </c>
      <c r="AC25" s="8" t="s">
        <v>128</v>
      </c>
      <c r="AD25" s="8" t="s">
        <v>129</v>
      </c>
      <c r="AE25" s="3"/>
      <c r="AF25" s="3"/>
      <c r="AL25" s="19" t="s">
        <v>130</v>
      </c>
      <c r="AM25" s="19" t="s">
        <v>131</v>
      </c>
      <c r="AN25" s="21"/>
      <c r="AO25" s="21"/>
      <c r="AP25" s="21"/>
      <c r="AQ25" s="21"/>
      <c r="AR25" s="19" t="s">
        <v>132</v>
      </c>
      <c r="AS25" s="19" t="s">
        <v>133</v>
      </c>
      <c r="AT25" s="19" t="s">
        <v>85</v>
      </c>
      <c r="AU25" s="19" t="s">
        <v>127</v>
      </c>
      <c r="AV25" s="19" t="s">
        <v>134</v>
      </c>
      <c r="AW25" s="19" t="s">
        <v>135</v>
      </c>
      <c r="AX25" s="21"/>
      <c r="AY25" s="21"/>
      <c r="AZ25" s="19" t="s">
        <v>136</v>
      </c>
      <c r="BA25" s="19" t="s">
        <v>137</v>
      </c>
      <c r="BB25" s="19" t="s">
        <v>138</v>
      </c>
      <c r="BC25" s="19" t="s">
        <v>139</v>
      </c>
      <c r="BD25" s="19" t="s">
        <v>140</v>
      </c>
      <c r="BE25" s="19" t="s">
        <v>141</v>
      </c>
      <c r="BF25" s="21"/>
      <c r="BG25" s="19" t="s">
        <v>142</v>
      </c>
      <c r="BH25" s="19" t="s">
        <v>143</v>
      </c>
      <c r="BI25" s="19" t="s">
        <v>144</v>
      </c>
      <c r="BJ25" s="19" t="s">
        <v>145</v>
      </c>
      <c r="BK25" s="19" t="s">
        <v>115</v>
      </c>
      <c r="BL25" s="19" t="s">
        <v>146</v>
      </c>
      <c r="BM25" s="18" t="s">
        <v>89</v>
      </c>
      <c r="BO25" s="20" t="s">
        <v>158</v>
      </c>
      <c r="BP25" s="20" t="s">
        <v>159</v>
      </c>
      <c r="BQ25" s="3" t="s">
        <v>89</v>
      </c>
      <c r="BR25" s="17" t="s">
        <v>147</v>
      </c>
      <c r="BS25" s="17" t="s">
        <v>148</v>
      </c>
      <c r="BT25" s="17" t="s">
        <v>149</v>
      </c>
      <c r="BU25" s="17" t="s">
        <v>147</v>
      </c>
      <c r="BV25" s="17" t="s">
        <v>150</v>
      </c>
      <c r="BW25" s="17" t="s">
        <v>151</v>
      </c>
      <c r="BX25" s="8"/>
      <c r="BY25" s="17" t="s">
        <v>152</v>
      </c>
      <c r="BZ25" s="17" t="s">
        <v>153</v>
      </c>
      <c r="CA25" s="17" t="s">
        <v>154</v>
      </c>
      <c r="CB25" s="17" t="s">
        <v>155</v>
      </c>
      <c r="CC25" s="17" t="s">
        <v>156</v>
      </c>
      <c r="CD25" s="17" t="s">
        <v>157</v>
      </c>
      <c r="CE25" s="8"/>
    </row>
    <row r="26" spans="1:83" x14ac:dyDescent="0.25">
      <c r="M26" s="3">
        <v>1</v>
      </c>
      <c r="N26" s="3">
        <v>1</v>
      </c>
      <c r="O26" s="3">
        <v>2</v>
      </c>
      <c r="P26" s="3">
        <v>3</v>
      </c>
      <c r="Q26" s="3">
        <v>3</v>
      </c>
      <c r="R26" s="3">
        <f>SUM(M26:Q26)</f>
        <v>10</v>
      </c>
      <c r="S26" s="3"/>
      <c r="T26" s="3">
        <v>2</v>
      </c>
      <c r="U26" s="3">
        <v>1</v>
      </c>
      <c r="V26" s="3">
        <v>1</v>
      </c>
      <c r="W26" s="3">
        <v>2</v>
      </c>
      <c r="X26" s="3">
        <v>2</v>
      </c>
      <c r="Y26" s="3">
        <v>2</v>
      </c>
      <c r="Z26" s="3">
        <f>SUM(T26:Y26)</f>
        <v>10</v>
      </c>
      <c r="AA26" s="3">
        <v>3</v>
      </c>
      <c r="AB26" s="3">
        <v>3</v>
      </c>
      <c r="AC26" s="3">
        <v>2</v>
      </c>
      <c r="AD26" s="3">
        <v>2</v>
      </c>
      <c r="AE26" s="3">
        <f>SUM(AA26:AD26)</f>
        <v>10</v>
      </c>
      <c r="AF26" s="3"/>
      <c r="AG26" s="3"/>
      <c r="AL26" s="3">
        <v>4</v>
      </c>
      <c r="AM26" s="3">
        <v>6</v>
      </c>
      <c r="AN26" s="3">
        <f>SUM(AL26:AM26)</f>
        <v>10</v>
      </c>
      <c r="AO26" s="3"/>
      <c r="AP26" s="3"/>
      <c r="AQ26" s="3"/>
      <c r="AR26" s="3">
        <v>2</v>
      </c>
      <c r="AS26" s="3">
        <v>1</v>
      </c>
      <c r="AT26" s="3">
        <v>2</v>
      </c>
      <c r="AU26" s="3">
        <v>2</v>
      </c>
      <c r="AV26" s="3">
        <v>1</v>
      </c>
      <c r="AW26" s="3">
        <v>2</v>
      </c>
      <c r="AX26">
        <f>SUM(AR26:AW26)</f>
        <v>10</v>
      </c>
      <c r="AZ26" s="3">
        <v>2</v>
      </c>
      <c r="BA26" s="3">
        <v>2</v>
      </c>
      <c r="BB26" s="3">
        <v>1</v>
      </c>
      <c r="BC26" s="3">
        <v>3</v>
      </c>
      <c r="BD26" s="3">
        <v>1</v>
      </c>
      <c r="BE26" s="3">
        <v>1</v>
      </c>
      <c r="BF26">
        <f>SUM(AZ26:BE26)</f>
        <v>10</v>
      </c>
      <c r="BG26" s="3">
        <v>2</v>
      </c>
      <c r="BH26" s="3">
        <v>2</v>
      </c>
      <c r="BI26" s="3">
        <v>2</v>
      </c>
      <c r="BJ26" s="3">
        <v>2</v>
      </c>
      <c r="BK26" s="3">
        <v>1</v>
      </c>
      <c r="BL26" s="3">
        <v>1</v>
      </c>
      <c r="BM26" s="3">
        <f>SUM(BG26:BL26)</f>
        <v>10</v>
      </c>
      <c r="BO26" s="3">
        <v>5</v>
      </c>
      <c r="BP26" s="3">
        <v>5</v>
      </c>
      <c r="BQ26" s="3">
        <f>BO26+BP26</f>
        <v>10</v>
      </c>
      <c r="BR26" s="3">
        <v>2</v>
      </c>
      <c r="BS26" s="3">
        <v>2</v>
      </c>
      <c r="BT26" s="3">
        <v>1</v>
      </c>
      <c r="BU26" s="3">
        <v>2</v>
      </c>
      <c r="BV26" s="3">
        <v>2</v>
      </c>
      <c r="BW26" s="3">
        <v>1</v>
      </c>
      <c r="BX26" s="3">
        <f>SUM(BR26:BW26)</f>
        <v>10</v>
      </c>
      <c r="BY26" s="3">
        <v>1</v>
      </c>
      <c r="BZ26" s="3">
        <v>1</v>
      </c>
      <c r="CA26" s="3">
        <v>3</v>
      </c>
      <c r="CB26" s="3">
        <v>2</v>
      </c>
      <c r="CC26" s="3">
        <v>2</v>
      </c>
      <c r="CD26" s="3">
        <v>1</v>
      </c>
      <c r="CE26">
        <f>SUM(BY26:CD26)</f>
        <v>10</v>
      </c>
    </row>
    <row r="27" spans="1:83" x14ac:dyDescent="0.25"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N27" s="3"/>
      <c r="BM27" s="3"/>
      <c r="BO27" s="3"/>
      <c r="BP27" s="3"/>
      <c r="BQ27" s="3"/>
      <c r="BX27" s="3"/>
    </row>
    <row r="28" spans="1:83" ht="15.75" x14ac:dyDescent="0.25">
      <c r="A28" s="11" t="s">
        <v>53</v>
      </c>
      <c r="B28" s="24">
        <f t="shared" ref="B28:B30" si="55">SUM(C28:L28)</f>
        <v>50</v>
      </c>
      <c r="C28" s="22">
        <f>R28</f>
        <v>7</v>
      </c>
      <c r="D28" s="22">
        <f t="shared" ref="D28:D42" si="56">Z28</f>
        <v>4</v>
      </c>
      <c r="E28" s="22">
        <f>AE28</f>
        <v>0</v>
      </c>
      <c r="F28" s="22">
        <f>AN28</f>
        <v>10</v>
      </c>
      <c r="G28" s="22">
        <f>AX28</f>
        <v>8</v>
      </c>
      <c r="H28" s="22">
        <f t="shared" ref="H28:H30" si="57">BF28</f>
        <v>1</v>
      </c>
      <c r="I28" s="22">
        <f>BM28</f>
        <v>0</v>
      </c>
      <c r="J28" s="22">
        <f t="shared" ref="J28:J30" si="58">BQ28</f>
        <v>7</v>
      </c>
      <c r="K28" s="22">
        <f>BX28</f>
        <v>10</v>
      </c>
      <c r="L28" s="22">
        <f t="shared" ref="L28:L30" si="59">CE28</f>
        <v>3</v>
      </c>
      <c r="M28" s="3">
        <v>1</v>
      </c>
      <c r="N28" s="3">
        <v>1</v>
      </c>
      <c r="O28" s="3">
        <v>2</v>
      </c>
      <c r="P28" s="3">
        <v>3</v>
      </c>
      <c r="Q28" s="3">
        <v>0</v>
      </c>
      <c r="R28" s="3">
        <f t="shared" ref="R28:R42" si="60">SUM(M28:Q28)</f>
        <v>7</v>
      </c>
      <c r="S28" s="3"/>
      <c r="T28" s="3">
        <v>2</v>
      </c>
      <c r="U28" s="3">
        <v>1</v>
      </c>
      <c r="V28" s="3">
        <v>1</v>
      </c>
      <c r="W28" s="3">
        <v>0</v>
      </c>
      <c r="X28" s="3">
        <v>0</v>
      </c>
      <c r="Y28" s="3">
        <v>0</v>
      </c>
      <c r="Z28" s="3">
        <f t="shared" ref="Z28:Z42" si="61">SUM(T28:Y28)</f>
        <v>4</v>
      </c>
      <c r="AA28" s="3">
        <v>0</v>
      </c>
      <c r="AB28" s="3">
        <v>0</v>
      </c>
      <c r="AC28" s="3">
        <v>0</v>
      </c>
      <c r="AD28" s="3">
        <v>0</v>
      </c>
      <c r="AE28" s="3">
        <f t="shared" ref="AE28:AE42" si="62">SUM(AA28:AD28)</f>
        <v>0</v>
      </c>
      <c r="AF28" s="3"/>
      <c r="AL28" s="3">
        <v>4</v>
      </c>
      <c r="AM28" s="3">
        <v>6</v>
      </c>
      <c r="AN28" s="3">
        <f t="shared" ref="AN28:AN42" si="63">SUM(AL28:AM28)</f>
        <v>10</v>
      </c>
      <c r="AR28" s="3">
        <v>2</v>
      </c>
      <c r="AS28" s="3">
        <v>1</v>
      </c>
      <c r="AT28" s="3">
        <v>2</v>
      </c>
      <c r="AU28" s="3">
        <v>0</v>
      </c>
      <c r="AV28" s="3">
        <v>1</v>
      </c>
      <c r="AW28" s="3">
        <v>2</v>
      </c>
      <c r="AX28">
        <f t="shared" ref="AX28:AX42" si="64">SUM(AR28:AW28)</f>
        <v>8</v>
      </c>
      <c r="AZ28" s="3">
        <v>0</v>
      </c>
      <c r="BA28" s="3">
        <v>0</v>
      </c>
      <c r="BB28" s="3">
        <v>1</v>
      </c>
      <c r="BC28" s="3">
        <v>0</v>
      </c>
      <c r="BD28" s="3">
        <v>0</v>
      </c>
      <c r="BE28" s="3">
        <v>0</v>
      </c>
      <c r="BF28">
        <f t="shared" ref="BF28:BF42" si="65">SUM(AZ28:BE28)</f>
        <v>1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f t="shared" ref="BM28:BM42" si="66">SUM(BG28:BL28)</f>
        <v>0</v>
      </c>
      <c r="BO28" s="3">
        <v>2</v>
      </c>
      <c r="BP28" s="3">
        <v>5</v>
      </c>
      <c r="BQ28" s="3">
        <f t="shared" ref="BQ28:BQ42" si="67">BO28+BP28</f>
        <v>7</v>
      </c>
      <c r="BR28" s="3">
        <v>2</v>
      </c>
      <c r="BS28" s="3">
        <v>2</v>
      </c>
      <c r="BT28" s="3">
        <v>1</v>
      </c>
      <c r="BU28" s="3">
        <v>2</v>
      </c>
      <c r="BV28" s="3">
        <v>2</v>
      </c>
      <c r="BW28" s="3">
        <v>1</v>
      </c>
      <c r="BX28" s="3">
        <f t="shared" ref="BX28:BX42" si="68">SUM(BR28:BW28)</f>
        <v>10</v>
      </c>
      <c r="BY28" s="3">
        <v>1</v>
      </c>
      <c r="BZ28" s="3">
        <v>1</v>
      </c>
      <c r="CA28" s="3">
        <v>0</v>
      </c>
      <c r="CB28" s="3">
        <v>0</v>
      </c>
      <c r="CC28" s="3">
        <v>0</v>
      </c>
      <c r="CD28" s="3">
        <v>1</v>
      </c>
      <c r="CE28">
        <f t="shared" ref="CE28:CE42" si="69">SUM(BY28:CD28)</f>
        <v>3</v>
      </c>
    </row>
    <row r="29" spans="1:83" ht="15.75" x14ac:dyDescent="0.25">
      <c r="A29" s="11" t="s">
        <v>8</v>
      </c>
      <c r="B29" s="24">
        <f t="shared" si="55"/>
        <v>58</v>
      </c>
      <c r="C29" s="22">
        <f t="shared" ref="C29:C42" si="70">R29</f>
        <v>5</v>
      </c>
      <c r="D29" s="22">
        <f t="shared" si="56"/>
        <v>10</v>
      </c>
      <c r="E29" s="22">
        <f t="shared" ref="E29:E42" si="71">AE29</f>
        <v>7</v>
      </c>
      <c r="F29" s="22">
        <f t="shared" ref="F29:F42" si="72">AN29</f>
        <v>0</v>
      </c>
      <c r="G29" s="22">
        <f t="shared" ref="G29:G42" si="73">AX29</f>
        <v>8</v>
      </c>
      <c r="H29" s="22">
        <f t="shared" si="57"/>
        <v>5</v>
      </c>
      <c r="I29" s="22">
        <f t="shared" ref="I29:I42" si="74">BM29</f>
        <v>0</v>
      </c>
      <c r="J29" s="22">
        <f t="shared" si="58"/>
        <v>7</v>
      </c>
      <c r="K29" s="22">
        <f t="shared" ref="K29:K42" si="75">BX29</f>
        <v>6</v>
      </c>
      <c r="L29" s="22">
        <f t="shared" si="59"/>
        <v>10</v>
      </c>
      <c r="M29" s="3">
        <v>0</v>
      </c>
      <c r="N29" s="3">
        <v>0</v>
      </c>
      <c r="O29" s="3">
        <v>2</v>
      </c>
      <c r="P29" s="3">
        <v>3</v>
      </c>
      <c r="Q29" s="3">
        <v>0</v>
      </c>
      <c r="R29" s="3">
        <f t="shared" si="60"/>
        <v>5</v>
      </c>
      <c r="S29" s="3"/>
      <c r="T29" s="3">
        <v>2</v>
      </c>
      <c r="U29" s="3">
        <v>1</v>
      </c>
      <c r="V29" s="3">
        <v>1</v>
      </c>
      <c r="W29" s="3">
        <v>2</v>
      </c>
      <c r="X29" s="3">
        <v>2</v>
      </c>
      <c r="Y29" s="3">
        <v>2</v>
      </c>
      <c r="Z29" s="3">
        <f t="shared" si="61"/>
        <v>10</v>
      </c>
      <c r="AA29" s="3">
        <v>3</v>
      </c>
      <c r="AB29" s="3">
        <v>0</v>
      </c>
      <c r="AC29" s="3">
        <v>2</v>
      </c>
      <c r="AD29" s="3">
        <v>2</v>
      </c>
      <c r="AE29" s="3">
        <f t="shared" si="62"/>
        <v>7</v>
      </c>
      <c r="AF29" s="3"/>
      <c r="AL29" s="3">
        <v>0</v>
      </c>
      <c r="AM29" s="3">
        <v>0</v>
      </c>
      <c r="AN29" s="3">
        <f t="shared" si="63"/>
        <v>0</v>
      </c>
      <c r="AR29" s="3">
        <v>2</v>
      </c>
      <c r="AS29" s="3">
        <v>1</v>
      </c>
      <c r="AT29" s="3">
        <v>2</v>
      </c>
      <c r="AU29" s="3">
        <v>0</v>
      </c>
      <c r="AV29" s="3">
        <v>1</v>
      </c>
      <c r="AW29" s="3">
        <v>2</v>
      </c>
      <c r="AX29">
        <f t="shared" si="64"/>
        <v>8</v>
      </c>
      <c r="AZ29" s="3">
        <v>2</v>
      </c>
      <c r="BA29" s="3">
        <v>2</v>
      </c>
      <c r="BB29" s="3">
        <v>1</v>
      </c>
      <c r="BC29" s="3">
        <v>0</v>
      </c>
      <c r="BD29" s="3">
        <v>0</v>
      </c>
      <c r="BE29" s="3">
        <v>0</v>
      </c>
      <c r="BF29">
        <f t="shared" si="65"/>
        <v>5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f t="shared" si="66"/>
        <v>0</v>
      </c>
      <c r="BO29" s="3">
        <v>2</v>
      </c>
      <c r="BP29" s="3">
        <v>5</v>
      </c>
      <c r="BQ29" s="3">
        <f t="shared" si="67"/>
        <v>7</v>
      </c>
      <c r="BR29" s="3">
        <v>0</v>
      </c>
      <c r="BS29" s="3">
        <v>2</v>
      </c>
      <c r="BT29" s="3">
        <v>1</v>
      </c>
      <c r="BU29" s="3">
        <v>2</v>
      </c>
      <c r="BV29" s="3">
        <v>0</v>
      </c>
      <c r="BW29" s="3">
        <v>1</v>
      </c>
      <c r="BX29" s="3">
        <f t="shared" si="68"/>
        <v>6</v>
      </c>
      <c r="BY29" s="3">
        <v>1</v>
      </c>
      <c r="BZ29" s="3">
        <v>1</v>
      </c>
      <c r="CA29" s="3">
        <v>3</v>
      </c>
      <c r="CB29" s="3">
        <v>2</v>
      </c>
      <c r="CC29" s="3">
        <v>2</v>
      </c>
      <c r="CD29" s="3">
        <v>1</v>
      </c>
      <c r="CE29">
        <f t="shared" si="69"/>
        <v>10</v>
      </c>
    </row>
    <row r="30" spans="1:83" ht="15.75" x14ac:dyDescent="0.25">
      <c r="A30" s="11" t="s">
        <v>44</v>
      </c>
      <c r="B30" s="24">
        <f t="shared" si="55"/>
        <v>41</v>
      </c>
      <c r="C30" s="22">
        <f t="shared" si="70"/>
        <v>2</v>
      </c>
      <c r="D30" s="22">
        <f t="shared" si="56"/>
        <v>0</v>
      </c>
      <c r="E30" s="22">
        <f t="shared" si="71"/>
        <v>5</v>
      </c>
      <c r="F30" s="22">
        <f t="shared" si="72"/>
        <v>10</v>
      </c>
      <c r="G30" s="22">
        <f t="shared" si="73"/>
        <v>3</v>
      </c>
      <c r="H30" s="22">
        <f t="shared" si="57"/>
        <v>5</v>
      </c>
      <c r="I30" s="22">
        <f t="shared" si="74"/>
        <v>0</v>
      </c>
      <c r="J30" s="22">
        <f t="shared" si="58"/>
        <v>7</v>
      </c>
      <c r="K30" s="22">
        <f t="shared" si="75"/>
        <v>5</v>
      </c>
      <c r="L30" s="22">
        <f t="shared" si="59"/>
        <v>4</v>
      </c>
      <c r="M30" s="3">
        <v>1</v>
      </c>
      <c r="N30" s="3">
        <v>0</v>
      </c>
      <c r="O30" s="3">
        <v>1</v>
      </c>
      <c r="P30" s="3">
        <v>0</v>
      </c>
      <c r="Q30" s="3">
        <v>0</v>
      </c>
      <c r="R30" s="3">
        <f t="shared" si="60"/>
        <v>2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f t="shared" si="61"/>
        <v>0</v>
      </c>
      <c r="AA30" s="3">
        <v>3</v>
      </c>
      <c r="AB30" s="3">
        <v>0</v>
      </c>
      <c r="AC30" s="3">
        <v>0</v>
      </c>
      <c r="AD30" s="3">
        <v>2</v>
      </c>
      <c r="AE30" s="3">
        <f t="shared" si="62"/>
        <v>5</v>
      </c>
      <c r="AL30" s="3">
        <v>4</v>
      </c>
      <c r="AM30" s="3">
        <v>6</v>
      </c>
      <c r="AN30" s="3">
        <f t="shared" si="63"/>
        <v>10</v>
      </c>
      <c r="AR30" s="3">
        <v>2</v>
      </c>
      <c r="AS30" s="3">
        <v>1</v>
      </c>
      <c r="AT30" s="3">
        <v>0</v>
      </c>
      <c r="AU30" s="3">
        <v>0</v>
      </c>
      <c r="AV30" s="3">
        <v>0</v>
      </c>
      <c r="AW30" s="3">
        <v>0</v>
      </c>
      <c r="AX30">
        <f t="shared" si="64"/>
        <v>3</v>
      </c>
      <c r="AZ30" s="3">
        <v>2</v>
      </c>
      <c r="BA30" s="3">
        <v>2</v>
      </c>
      <c r="BB30" s="3">
        <v>1</v>
      </c>
      <c r="BC30" s="3">
        <v>0</v>
      </c>
      <c r="BD30" s="3">
        <v>0</v>
      </c>
      <c r="BE30" s="3">
        <v>0</v>
      </c>
      <c r="BF30">
        <f t="shared" si="65"/>
        <v>5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f t="shared" si="66"/>
        <v>0</v>
      </c>
      <c r="BO30" s="3">
        <v>2</v>
      </c>
      <c r="BP30" s="3">
        <v>5</v>
      </c>
      <c r="BQ30" s="3">
        <f t="shared" si="67"/>
        <v>7</v>
      </c>
      <c r="BR30" s="3">
        <v>1</v>
      </c>
      <c r="BS30" s="3">
        <v>0</v>
      </c>
      <c r="BT30" s="3">
        <v>1</v>
      </c>
      <c r="BU30" s="3">
        <v>2</v>
      </c>
      <c r="BV30" s="3">
        <v>0</v>
      </c>
      <c r="BW30" s="3">
        <v>1</v>
      </c>
      <c r="BX30" s="3">
        <f>SUM(BR30:BW30)</f>
        <v>5</v>
      </c>
      <c r="BY30" s="3">
        <v>1</v>
      </c>
      <c r="BZ30" s="3">
        <v>1</v>
      </c>
      <c r="CA30" s="3">
        <v>0</v>
      </c>
      <c r="CB30" s="3">
        <v>0</v>
      </c>
      <c r="CC30" s="3">
        <v>1</v>
      </c>
      <c r="CD30" s="3">
        <v>1</v>
      </c>
      <c r="CE30">
        <f t="shared" si="69"/>
        <v>4</v>
      </c>
    </row>
    <row r="31" spans="1:83" ht="15.75" x14ac:dyDescent="0.25">
      <c r="A31" s="11" t="s">
        <v>52</v>
      </c>
      <c r="B31" s="24">
        <f t="shared" ref="B31:B42" si="76">SUM(C31:L31)</f>
        <v>61</v>
      </c>
      <c r="C31" s="22">
        <f t="shared" si="70"/>
        <v>8</v>
      </c>
      <c r="D31" s="22">
        <f t="shared" si="56"/>
        <v>8</v>
      </c>
      <c r="E31" s="22">
        <f t="shared" si="71"/>
        <v>7</v>
      </c>
      <c r="F31" s="22">
        <f t="shared" si="72"/>
        <v>10</v>
      </c>
      <c r="G31" s="22">
        <f t="shared" si="73"/>
        <v>3</v>
      </c>
      <c r="H31" s="22">
        <f t="shared" ref="H31:H42" si="77">BF31</f>
        <v>1</v>
      </c>
      <c r="I31" s="22">
        <f t="shared" si="74"/>
        <v>0</v>
      </c>
      <c r="J31" s="22">
        <f t="shared" ref="J31:J42" si="78">BQ31</f>
        <v>7</v>
      </c>
      <c r="K31" s="22">
        <f t="shared" si="75"/>
        <v>7</v>
      </c>
      <c r="L31" s="22">
        <f t="shared" ref="L31:L42" si="79">CE31</f>
        <v>10</v>
      </c>
      <c r="M31" s="3">
        <v>1</v>
      </c>
      <c r="N31" s="3">
        <v>1</v>
      </c>
      <c r="O31" s="3">
        <v>2</v>
      </c>
      <c r="P31" s="3">
        <v>1</v>
      </c>
      <c r="Q31" s="3">
        <v>3</v>
      </c>
      <c r="R31" s="3">
        <f t="shared" si="60"/>
        <v>8</v>
      </c>
      <c r="T31" s="3">
        <v>2</v>
      </c>
      <c r="U31" s="3">
        <v>1</v>
      </c>
      <c r="V31" s="3">
        <v>1</v>
      </c>
      <c r="W31" s="3">
        <v>2</v>
      </c>
      <c r="X31" s="3">
        <v>2</v>
      </c>
      <c r="Y31" s="3">
        <v>0</v>
      </c>
      <c r="Z31" s="3">
        <f t="shared" si="61"/>
        <v>8</v>
      </c>
      <c r="AA31" s="3">
        <v>3</v>
      </c>
      <c r="AB31" s="3">
        <v>0</v>
      </c>
      <c r="AC31" s="3">
        <v>2</v>
      </c>
      <c r="AD31" s="3">
        <v>2</v>
      </c>
      <c r="AE31" s="3">
        <f t="shared" si="62"/>
        <v>7</v>
      </c>
      <c r="AL31" s="3">
        <v>4</v>
      </c>
      <c r="AM31" s="3">
        <v>6</v>
      </c>
      <c r="AN31" s="3">
        <f t="shared" si="63"/>
        <v>10</v>
      </c>
      <c r="AR31" s="3">
        <v>2</v>
      </c>
      <c r="AS31" s="3">
        <v>1</v>
      </c>
      <c r="AT31" s="3">
        <v>0</v>
      </c>
      <c r="AU31" s="3">
        <v>0</v>
      </c>
      <c r="AV31" s="3">
        <v>0</v>
      </c>
      <c r="AW31" s="3">
        <v>0</v>
      </c>
      <c r="AX31">
        <f t="shared" si="64"/>
        <v>3</v>
      </c>
      <c r="AZ31" s="3">
        <v>0</v>
      </c>
      <c r="BA31" s="3">
        <v>0</v>
      </c>
      <c r="BB31" s="3">
        <v>1</v>
      </c>
      <c r="BC31" s="3">
        <v>0</v>
      </c>
      <c r="BD31" s="3">
        <v>0</v>
      </c>
      <c r="BE31" s="3">
        <v>0</v>
      </c>
      <c r="BF31">
        <f t="shared" si="65"/>
        <v>1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f t="shared" si="66"/>
        <v>0</v>
      </c>
      <c r="BO31" s="3">
        <v>2</v>
      </c>
      <c r="BP31" s="3">
        <v>5</v>
      </c>
      <c r="BQ31" s="3">
        <f t="shared" si="67"/>
        <v>7</v>
      </c>
      <c r="BR31" s="3">
        <v>1</v>
      </c>
      <c r="BS31" s="3">
        <v>2</v>
      </c>
      <c r="BT31" s="3">
        <v>1</v>
      </c>
      <c r="BU31" s="3">
        <v>2</v>
      </c>
      <c r="BV31" s="3">
        <v>0</v>
      </c>
      <c r="BW31" s="3">
        <v>1</v>
      </c>
      <c r="BX31" s="3">
        <f>SUM(BR31:BW31)</f>
        <v>7</v>
      </c>
      <c r="BY31" s="3">
        <v>1</v>
      </c>
      <c r="BZ31" s="3">
        <v>1</v>
      </c>
      <c r="CA31" s="3">
        <v>3</v>
      </c>
      <c r="CB31" s="3">
        <v>2</v>
      </c>
      <c r="CC31" s="3">
        <v>2</v>
      </c>
      <c r="CD31" s="3">
        <v>1</v>
      </c>
      <c r="CE31">
        <f t="shared" si="69"/>
        <v>10</v>
      </c>
    </row>
    <row r="32" spans="1:83" ht="15.75" x14ac:dyDescent="0.25">
      <c r="A32" s="11" t="s">
        <v>48</v>
      </c>
      <c r="B32" s="24">
        <f t="shared" si="76"/>
        <v>41</v>
      </c>
      <c r="C32" s="22">
        <f t="shared" si="70"/>
        <v>0</v>
      </c>
      <c r="D32" s="22">
        <f t="shared" si="56"/>
        <v>6</v>
      </c>
      <c r="E32" s="22">
        <f t="shared" si="71"/>
        <v>10</v>
      </c>
      <c r="F32" s="22">
        <f t="shared" si="72"/>
        <v>2</v>
      </c>
      <c r="G32" s="22">
        <f t="shared" si="73"/>
        <v>4</v>
      </c>
      <c r="H32" s="22">
        <f t="shared" si="77"/>
        <v>1</v>
      </c>
      <c r="I32" s="22">
        <f t="shared" si="74"/>
        <v>1</v>
      </c>
      <c r="J32" s="22">
        <f t="shared" si="78"/>
        <v>7</v>
      </c>
      <c r="K32" s="22">
        <f t="shared" si="75"/>
        <v>5</v>
      </c>
      <c r="L32" s="22">
        <f t="shared" si="79"/>
        <v>5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f t="shared" si="60"/>
        <v>0</v>
      </c>
      <c r="T32" s="3">
        <v>2</v>
      </c>
      <c r="U32" s="3">
        <v>1</v>
      </c>
      <c r="V32" s="3">
        <v>1</v>
      </c>
      <c r="W32" s="3">
        <v>0</v>
      </c>
      <c r="X32" s="3">
        <v>0</v>
      </c>
      <c r="Y32" s="3">
        <v>2</v>
      </c>
      <c r="Z32" s="3">
        <f t="shared" si="61"/>
        <v>6</v>
      </c>
      <c r="AA32" s="3">
        <v>3</v>
      </c>
      <c r="AB32" s="3">
        <v>3</v>
      </c>
      <c r="AC32" s="3">
        <v>2</v>
      </c>
      <c r="AD32" s="3">
        <v>2</v>
      </c>
      <c r="AE32" s="3">
        <f t="shared" si="62"/>
        <v>10</v>
      </c>
      <c r="AF32" s="3"/>
      <c r="AL32" s="3">
        <v>2</v>
      </c>
      <c r="AM32" s="3">
        <v>0</v>
      </c>
      <c r="AN32" s="3">
        <f t="shared" si="63"/>
        <v>2</v>
      </c>
      <c r="AR32" s="3">
        <v>2</v>
      </c>
      <c r="AS32" s="3">
        <v>1</v>
      </c>
      <c r="AT32" s="3">
        <v>0</v>
      </c>
      <c r="AU32" s="3">
        <v>0</v>
      </c>
      <c r="AV32" s="3">
        <v>0</v>
      </c>
      <c r="AW32" s="3">
        <v>1</v>
      </c>
      <c r="AX32">
        <f t="shared" si="64"/>
        <v>4</v>
      </c>
      <c r="AZ32" s="3">
        <v>0</v>
      </c>
      <c r="BA32" s="3">
        <v>0</v>
      </c>
      <c r="BB32" s="3">
        <v>1</v>
      </c>
      <c r="BC32" s="3">
        <v>0</v>
      </c>
      <c r="BD32" s="3">
        <v>0</v>
      </c>
      <c r="BE32" s="3">
        <v>0</v>
      </c>
      <c r="BF32">
        <f>SUM(AZ32:BE32)</f>
        <v>1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1</v>
      </c>
      <c r="BM32" s="3">
        <f t="shared" si="66"/>
        <v>1</v>
      </c>
      <c r="BO32" s="3">
        <v>2</v>
      </c>
      <c r="BP32" s="3">
        <v>5</v>
      </c>
      <c r="BQ32" s="3">
        <f t="shared" si="67"/>
        <v>7</v>
      </c>
      <c r="BR32" s="3">
        <v>1</v>
      </c>
      <c r="BS32" s="3">
        <v>1</v>
      </c>
      <c r="BT32" s="3">
        <v>0</v>
      </c>
      <c r="BU32" s="3">
        <v>2</v>
      </c>
      <c r="BV32" s="3">
        <v>0</v>
      </c>
      <c r="BW32" s="3">
        <v>1</v>
      </c>
      <c r="BX32" s="3">
        <f t="shared" si="68"/>
        <v>5</v>
      </c>
      <c r="BY32" s="3">
        <v>1</v>
      </c>
      <c r="BZ32" s="3">
        <v>1</v>
      </c>
      <c r="CA32" s="3">
        <v>1</v>
      </c>
      <c r="CB32" s="3">
        <v>1</v>
      </c>
      <c r="CC32" s="3">
        <v>0</v>
      </c>
      <c r="CD32" s="3">
        <v>1</v>
      </c>
      <c r="CE32">
        <f t="shared" si="69"/>
        <v>5</v>
      </c>
    </row>
    <row r="33" spans="1:83" ht="15.75" x14ac:dyDescent="0.25">
      <c r="A33" s="11" t="s">
        <v>31</v>
      </c>
      <c r="B33" s="24">
        <f t="shared" si="76"/>
        <v>62</v>
      </c>
      <c r="C33" s="22">
        <f t="shared" si="70"/>
        <v>4</v>
      </c>
      <c r="D33" s="22">
        <f t="shared" si="56"/>
        <v>10</v>
      </c>
      <c r="E33" s="22">
        <f t="shared" si="71"/>
        <v>10</v>
      </c>
      <c r="F33" s="22">
        <f t="shared" si="72"/>
        <v>4</v>
      </c>
      <c r="G33" s="22">
        <f t="shared" si="73"/>
        <v>6</v>
      </c>
      <c r="H33" s="22">
        <f t="shared" si="77"/>
        <v>2</v>
      </c>
      <c r="I33" s="22">
        <f t="shared" si="74"/>
        <v>0</v>
      </c>
      <c r="J33" s="22">
        <f t="shared" si="78"/>
        <v>8</v>
      </c>
      <c r="K33" s="22">
        <f t="shared" si="75"/>
        <v>8</v>
      </c>
      <c r="L33" s="22">
        <f t="shared" si="79"/>
        <v>10</v>
      </c>
      <c r="M33" s="3">
        <v>0</v>
      </c>
      <c r="N33" s="3">
        <v>1</v>
      </c>
      <c r="O33" s="3">
        <v>0</v>
      </c>
      <c r="P33" s="3">
        <v>3</v>
      </c>
      <c r="Q33" s="3">
        <v>0</v>
      </c>
      <c r="R33" s="3">
        <f t="shared" si="60"/>
        <v>4</v>
      </c>
      <c r="T33" s="3">
        <v>2</v>
      </c>
      <c r="U33" s="3">
        <v>1</v>
      </c>
      <c r="V33" s="3">
        <v>1</v>
      </c>
      <c r="W33" s="3">
        <v>2</v>
      </c>
      <c r="X33" s="3">
        <v>2</v>
      </c>
      <c r="Y33" s="3">
        <v>2</v>
      </c>
      <c r="Z33" s="3">
        <f t="shared" si="61"/>
        <v>10</v>
      </c>
      <c r="AA33" s="3">
        <v>3</v>
      </c>
      <c r="AB33" s="3">
        <v>3</v>
      </c>
      <c r="AC33" s="3">
        <v>2</v>
      </c>
      <c r="AD33" s="3">
        <v>2</v>
      </c>
      <c r="AE33" s="3">
        <f t="shared" si="62"/>
        <v>10</v>
      </c>
      <c r="AF33" s="3"/>
      <c r="AL33" s="3">
        <v>4</v>
      </c>
      <c r="AM33" s="3">
        <v>0</v>
      </c>
      <c r="AN33" s="3">
        <f t="shared" si="63"/>
        <v>4</v>
      </c>
      <c r="AR33" s="3">
        <v>2</v>
      </c>
      <c r="AS33" s="3">
        <v>1</v>
      </c>
      <c r="AT33" s="3">
        <v>0</v>
      </c>
      <c r="AU33" s="3">
        <v>2</v>
      </c>
      <c r="AV33" s="3">
        <v>0</v>
      </c>
      <c r="AW33" s="3">
        <v>1</v>
      </c>
      <c r="AX33">
        <f t="shared" si="64"/>
        <v>6</v>
      </c>
      <c r="AZ33" s="3">
        <v>0</v>
      </c>
      <c r="BA33" s="3">
        <v>0</v>
      </c>
      <c r="BB33" s="3">
        <v>1</v>
      </c>
      <c r="BC33" s="3">
        <v>1</v>
      </c>
      <c r="BD33" s="3">
        <v>0</v>
      </c>
      <c r="BE33" s="3">
        <v>0</v>
      </c>
      <c r="BF33">
        <f>SUM(AZ33:BE33)</f>
        <v>2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f t="shared" si="66"/>
        <v>0</v>
      </c>
      <c r="BO33" s="3">
        <v>3</v>
      </c>
      <c r="BP33" s="3">
        <v>5</v>
      </c>
      <c r="BQ33" s="3">
        <f t="shared" si="67"/>
        <v>8</v>
      </c>
      <c r="BR33" s="3">
        <v>1</v>
      </c>
      <c r="BS33" s="3">
        <v>1</v>
      </c>
      <c r="BT33" s="3">
        <v>1</v>
      </c>
      <c r="BU33" s="3">
        <v>2</v>
      </c>
      <c r="BV33" s="3">
        <v>2</v>
      </c>
      <c r="BW33" s="3">
        <v>1</v>
      </c>
      <c r="BX33" s="3">
        <f>SUM(BR33:BW33)</f>
        <v>8</v>
      </c>
      <c r="BY33" s="3">
        <v>1</v>
      </c>
      <c r="BZ33" s="3">
        <v>1</v>
      </c>
      <c r="CA33" s="3">
        <v>3</v>
      </c>
      <c r="CB33" s="3">
        <v>2</v>
      </c>
      <c r="CC33" s="3">
        <v>2</v>
      </c>
      <c r="CD33" s="3">
        <v>1</v>
      </c>
      <c r="CE33">
        <f t="shared" si="69"/>
        <v>10</v>
      </c>
    </row>
    <row r="34" spans="1:83" ht="15.75" x14ac:dyDescent="0.25">
      <c r="A34" s="11" t="s">
        <v>3</v>
      </c>
      <c r="B34" s="24">
        <f t="shared" si="76"/>
        <v>32</v>
      </c>
      <c r="C34" s="22">
        <f t="shared" si="70"/>
        <v>2</v>
      </c>
      <c r="D34" s="22">
        <f t="shared" si="56"/>
        <v>0</v>
      </c>
      <c r="E34" s="22">
        <f t="shared" si="71"/>
        <v>0</v>
      </c>
      <c r="F34" s="22">
        <f t="shared" si="72"/>
        <v>4</v>
      </c>
      <c r="G34" s="22">
        <f t="shared" si="73"/>
        <v>4</v>
      </c>
      <c r="H34" s="22">
        <f t="shared" si="77"/>
        <v>3</v>
      </c>
      <c r="I34" s="22">
        <f t="shared" si="74"/>
        <v>0</v>
      </c>
      <c r="J34" s="22">
        <f t="shared" si="78"/>
        <v>8</v>
      </c>
      <c r="K34" s="22">
        <f t="shared" si="75"/>
        <v>6</v>
      </c>
      <c r="L34" s="22">
        <f t="shared" si="79"/>
        <v>5</v>
      </c>
      <c r="M34" s="3">
        <v>0</v>
      </c>
      <c r="N34" s="3">
        <v>0</v>
      </c>
      <c r="O34" s="3">
        <v>2</v>
      </c>
      <c r="P34" s="3">
        <v>0</v>
      </c>
      <c r="Q34" s="3">
        <v>0</v>
      </c>
      <c r="R34" s="3">
        <f t="shared" si="60"/>
        <v>2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f t="shared" si="61"/>
        <v>0</v>
      </c>
      <c r="AA34" s="3">
        <v>0</v>
      </c>
      <c r="AB34" s="3">
        <v>0</v>
      </c>
      <c r="AC34" s="3">
        <v>0</v>
      </c>
      <c r="AD34" s="3">
        <v>0</v>
      </c>
      <c r="AE34" s="3">
        <f t="shared" si="62"/>
        <v>0</v>
      </c>
      <c r="AF34" s="3"/>
      <c r="AL34" s="3">
        <v>4</v>
      </c>
      <c r="AM34" s="3">
        <v>0</v>
      </c>
      <c r="AN34" s="3">
        <f>SUM(AL34:AM34)</f>
        <v>4</v>
      </c>
      <c r="AR34" s="3">
        <v>2</v>
      </c>
      <c r="AS34" s="3">
        <v>1</v>
      </c>
      <c r="AT34" s="3">
        <v>0</v>
      </c>
      <c r="AU34" s="3">
        <v>0</v>
      </c>
      <c r="AV34" s="3">
        <v>1</v>
      </c>
      <c r="AW34" s="3">
        <v>0</v>
      </c>
      <c r="AX34">
        <f t="shared" si="64"/>
        <v>4</v>
      </c>
      <c r="AZ34" s="3">
        <v>0</v>
      </c>
      <c r="BA34" s="3">
        <v>2</v>
      </c>
      <c r="BB34" s="3">
        <v>1</v>
      </c>
      <c r="BC34" s="3">
        <v>0</v>
      </c>
      <c r="BD34" s="3">
        <v>0</v>
      </c>
      <c r="BE34" s="3">
        <v>0</v>
      </c>
      <c r="BF34">
        <f t="shared" si="65"/>
        <v>3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f t="shared" si="66"/>
        <v>0</v>
      </c>
      <c r="BO34" s="3">
        <v>3</v>
      </c>
      <c r="BP34" s="3">
        <v>5</v>
      </c>
      <c r="BQ34" s="3">
        <f t="shared" si="67"/>
        <v>8</v>
      </c>
      <c r="BR34" s="3">
        <v>1</v>
      </c>
      <c r="BS34" s="3">
        <v>1</v>
      </c>
      <c r="BT34" s="3">
        <v>1</v>
      </c>
      <c r="BU34" s="3">
        <v>2</v>
      </c>
      <c r="BV34" s="3">
        <v>0</v>
      </c>
      <c r="BW34" s="3">
        <v>1</v>
      </c>
      <c r="BX34" s="3">
        <f>SUM(BR34:BW34)</f>
        <v>6</v>
      </c>
      <c r="BY34" s="3">
        <v>1</v>
      </c>
      <c r="BZ34" s="3">
        <v>1</v>
      </c>
      <c r="CA34" s="3">
        <v>0</v>
      </c>
      <c r="CB34" s="3">
        <v>0</v>
      </c>
      <c r="CC34" s="3">
        <v>2</v>
      </c>
      <c r="CD34" s="3">
        <v>1</v>
      </c>
      <c r="CE34">
        <f t="shared" si="69"/>
        <v>5</v>
      </c>
    </row>
    <row r="35" spans="1:83" ht="15.75" x14ac:dyDescent="0.25">
      <c r="A35" s="11" t="s">
        <v>9</v>
      </c>
      <c r="B35" s="24">
        <f t="shared" si="76"/>
        <v>58</v>
      </c>
      <c r="C35" s="22">
        <f t="shared" si="70"/>
        <v>5</v>
      </c>
      <c r="D35" s="22">
        <f t="shared" si="56"/>
        <v>7</v>
      </c>
      <c r="E35" s="22">
        <f t="shared" si="71"/>
        <v>7</v>
      </c>
      <c r="F35" s="22">
        <f t="shared" si="72"/>
        <v>4</v>
      </c>
      <c r="G35" s="22">
        <f t="shared" si="73"/>
        <v>7</v>
      </c>
      <c r="H35" s="22">
        <f t="shared" si="77"/>
        <v>1</v>
      </c>
      <c r="I35" s="22">
        <f t="shared" si="74"/>
        <v>1</v>
      </c>
      <c r="J35" s="22">
        <f t="shared" si="78"/>
        <v>8</v>
      </c>
      <c r="K35" s="22">
        <f t="shared" si="75"/>
        <v>8</v>
      </c>
      <c r="L35" s="22">
        <f t="shared" si="79"/>
        <v>10</v>
      </c>
      <c r="M35" s="3">
        <v>0</v>
      </c>
      <c r="N35" s="3">
        <v>0</v>
      </c>
      <c r="O35" s="3">
        <v>2</v>
      </c>
      <c r="P35" s="3">
        <v>0</v>
      </c>
      <c r="Q35" s="3">
        <v>3</v>
      </c>
      <c r="R35" s="3">
        <f t="shared" si="60"/>
        <v>5</v>
      </c>
      <c r="T35" s="3">
        <v>2</v>
      </c>
      <c r="U35" s="3">
        <v>1</v>
      </c>
      <c r="V35" s="3">
        <v>0</v>
      </c>
      <c r="W35" s="3">
        <v>2</v>
      </c>
      <c r="X35" s="3">
        <v>0</v>
      </c>
      <c r="Y35" s="3">
        <v>2</v>
      </c>
      <c r="Z35" s="3">
        <f t="shared" si="61"/>
        <v>7</v>
      </c>
      <c r="AA35" s="3">
        <v>3</v>
      </c>
      <c r="AB35" s="3">
        <v>0</v>
      </c>
      <c r="AC35" s="3">
        <v>2</v>
      </c>
      <c r="AD35" s="3">
        <v>2</v>
      </c>
      <c r="AE35" s="3">
        <f t="shared" si="62"/>
        <v>7</v>
      </c>
      <c r="AF35" s="3"/>
      <c r="AL35" s="3">
        <v>4</v>
      </c>
      <c r="AM35" s="3">
        <v>0</v>
      </c>
      <c r="AN35" s="3">
        <f>SUM(AL35:AM35)</f>
        <v>4</v>
      </c>
      <c r="AR35" s="3">
        <v>2</v>
      </c>
      <c r="AS35" s="3">
        <v>1</v>
      </c>
      <c r="AT35" s="3">
        <v>1</v>
      </c>
      <c r="AU35" s="3">
        <v>0</v>
      </c>
      <c r="AV35" s="3">
        <v>1</v>
      </c>
      <c r="AW35" s="3">
        <v>2</v>
      </c>
      <c r="AX35">
        <f t="shared" si="64"/>
        <v>7</v>
      </c>
      <c r="AZ35" s="3">
        <v>0</v>
      </c>
      <c r="BA35" s="3">
        <v>0</v>
      </c>
      <c r="BB35" s="3">
        <v>1</v>
      </c>
      <c r="BC35" s="3">
        <v>0</v>
      </c>
      <c r="BD35" s="3">
        <v>0</v>
      </c>
      <c r="BE35" s="3">
        <v>0</v>
      </c>
      <c r="BF35">
        <f t="shared" si="65"/>
        <v>1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1</v>
      </c>
      <c r="BM35" s="3">
        <f t="shared" si="66"/>
        <v>1</v>
      </c>
      <c r="BO35" s="3">
        <v>3</v>
      </c>
      <c r="BP35" s="3">
        <v>5</v>
      </c>
      <c r="BQ35" s="3">
        <f t="shared" si="67"/>
        <v>8</v>
      </c>
      <c r="BR35" s="3">
        <v>2</v>
      </c>
      <c r="BS35" s="3">
        <v>2</v>
      </c>
      <c r="BT35" s="3">
        <v>1</v>
      </c>
      <c r="BU35" s="3">
        <v>2</v>
      </c>
      <c r="BV35" s="3">
        <v>0</v>
      </c>
      <c r="BW35" s="3">
        <v>1</v>
      </c>
      <c r="BX35" s="3">
        <f t="shared" si="68"/>
        <v>8</v>
      </c>
      <c r="BY35" s="3">
        <v>1</v>
      </c>
      <c r="BZ35" s="3">
        <v>1</v>
      </c>
      <c r="CA35" s="3">
        <v>3</v>
      </c>
      <c r="CB35" s="3">
        <v>2</v>
      </c>
      <c r="CC35" s="3">
        <v>2</v>
      </c>
      <c r="CD35" s="3">
        <v>1</v>
      </c>
      <c r="CE35">
        <f>SUM(BY35:CD35)</f>
        <v>10</v>
      </c>
    </row>
    <row r="36" spans="1:83" ht="15.75" x14ac:dyDescent="0.25">
      <c r="A36" s="11" t="s">
        <v>35</v>
      </c>
      <c r="B36" s="24">
        <f t="shared" si="76"/>
        <v>59</v>
      </c>
      <c r="C36" s="22">
        <f t="shared" si="70"/>
        <v>5</v>
      </c>
      <c r="D36" s="22">
        <f t="shared" si="56"/>
        <v>6</v>
      </c>
      <c r="E36" s="22">
        <f t="shared" si="71"/>
        <v>7</v>
      </c>
      <c r="F36" s="22">
        <f t="shared" si="72"/>
        <v>2</v>
      </c>
      <c r="G36" s="22">
        <f t="shared" si="73"/>
        <v>6</v>
      </c>
      <c r="H36" s="22">
        <f t="shared" si="77"/>
        <v>5</v>
      </c>
      <c r="I36" s="22">
        <f t="shared" si="74"/>
        <v>0</v>
      </c>
      <c r="J36" s="22">
        <f t="shared" si="78"/>
        <v>8</v>
      </c>
      <c r="K36" s="22">
        <f t="shared" si="75"/>
        <v>10</v>
      </c>
      <c r="L36" s="22">
        <f t="shared" si="79"/>
        <v>10</v>
      </c>
      <c r="M36" s="3">
        <v>0</v>
      </c>
      <c r="N36" s="3">
        <v>0</v>
      </c>
      <c r="O36" s="3">
        <v>2</v>
      </c>
      <c r="P36" s="3">
        <v>3</v>
      </c>
      <c r="Q36" s="3">
        <v>0</v>
      </c>
      <c r="R36" s="3">
        <f t="shared" si="60"/>
        <v>5</v>
      </c>
      <c r="T36" s="3">
        <v>2</v>
      </c>
      <c r="U36" s="3">
        <v>1</v>
      </c>
      <c r="V36" s="3">
        <v>1</v>
      </c>
      <c r="W36" s="3">
        <v>0</v>
      </c>
      <c r="X36" s="3">
        <v>0</v>
      </c>
      <c r="Y36" s="3">
        <v>2</v>
      </c>
      <c r="Z36" s="3">
        <f t="shared" si="61"/>
        <v>6</v>
      </c>
      <c r="AA36" s="3">
        <v>3</v>
      </c>
      <c r="AB36" s="3">
        <v>0</v>
      </c>
      <c r="AC36" s="3">
        <v>2</v>
      </c>
      <c r="AD36" s="3">
        <v>2</v>
      </c>
      <c r="AE36" s="3">
        <f t="shared" si="62"/>
        <v>7</v>
      </c>
      <c r="AF36" s="3"/>
      <c r="AL36" s="3">
        <v>2</v>
      </c>
      <c r="AM36" s="3">
        <v>0</v>
      </c>
      <c r="AN36" s="3">
        <f t="shared" si="63"/>
        <v>2</v>
      </c>
      <c r="AR36" s="3">
        <v>2</v>
      </c>
      <c r="AS36" s="3">
        <v>1</v>
      </c>
      <c r="AT36" s="3">
        <v>2</v>
      </c>
      <c r="AU36" s="3">
        <v>0</v>
      </c>
      <c r="AV36" s="3">
        <v>1</v>
      </c>
      <c r="AW36" s="3">
        <v>0</v>
      </c>
      <c r="AX36">
        <f t="shared" si="64"/>
        <v>6</v>
      </c>
      <c r="AZ36" s="3">
        <v>2</v>
      </c>
      <c r="BA36" s="3">
        <v>2</v>
      </c>
      <c r="BB36" s="3">
        <v>1</v>
      </c>
      <c r="BC36" s="3">
        <v>0</v>
      </c>
      <c r="BD36" s="3">
        <v>0</v>
      </c>
      <c r="BE36" s="3">
        <v>0</v>
      </c>
      <c r="BF36">
        <f t="shared" si="65"/>
        <v>5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f t="shared" si="66"/>
        <v>0</v>
      </c>
      <c r="BO36" s="3">
        <v>3</v>
      </c>
      <c r="BP36" s="3">
        <v>5</v>
      </c>
      <c r="BQ36" s="3">
        <f t="shared" si="67"/>
        <v>8</v>
      </c>
      <c r="BR36" s="3">
        <v>2</v>
      </c>
      <c r="BS36" s="3">
        <v>2</v>
      </c>
      <c r="BT36" s="3">
        <v>1</v>
      </c>
      <c r="BU36" s="3">
        <v>2</v>
      </c>
      <c r="BV36" s="3">
        <v>2</v>
      </c>
      <c r="BW36" s="3">
        <v>1</v>
      </c>
      <c r="BX36" s="3">
        <f t="shared" si="68"/>
        <v>10</v>
      </c>
      <c r="BY36" s="3">
        <v>1</v>
      </c>
      <c r="BZ36" s="3">
        <v>1</v>
      </c>
      <c r="CA36" s="3">
        <v>3</v>
      </c>
      <c r="CB36" s="3">
        <v>2</v>
      </c>
      <c r="CC36" s="3">
        <v>2</v>
      </c>
      <c r="CD36" s="3">
        <v>1</v>
      </c>
      <c r="CE36">
        <f>SUM(BY36:CD36)</f>
        <v>10</v>
      </c>
    </row>
    <row r="37" spans="1:83" ht="15.75" x14ac:dyDescent="0.25">
      <c r="A37" s="11" t="s">
        <v>40</v>
      </c>
      <c r="B37" s="24">
        <f t="shared" si="76"/>
        <v>78</v>
      </c>
      <c r="C37" s="22">
        <f t="shared" si="70"/>
        <v>10</v>
      </c>
      <c r="D37" s="22">
        <f t="shared" si="56"/>
        <v>8</v>
      </c>
      <c r="E37" s="22">
        <f t="shared" si="71"/>
        <v>8</v>
      </c>
      <c r="F37" s="22">
        <f t="shared" si="72"/>
        <v>10</v>
      </c>
      <c r="G37" s="22">
        <f t="shared" si="73"/>
        <v>6</v>
      </c>
      <c r="H37" s="22">
        <f t="shared" si="77"/>
        <v>5</v>
      </c>
      <c r="I37" s="22">
        <f t="shared" si="74"/>
        <v>1</v>
      </c>
      <c r="J37" s="22">
        <f t="shared" si="78"/>
        <v>10</v>
      </c>
      <c r="K37" s="22">
        <f t="shared" si="75"/>
        <v>10</v>
      </c>
      <c r="L37" s="22">
        <f t="shared" si="79"/>
        <v>10</v>
      </c>
      <c r="M37" s="3">
        <v>1</v>
      </c>
      <c r="N37" s="3">
        <v>1</v>
      </c>
      <c r="O37" s="3">
        <v>2</v>
      </c>
      <c r="P37" s="3">
        <v>3</v>
      </c>
      <c r="Q37" s="3">
        <v>3</v>
      </c>
      <c r="R37" s="3">
        <f t="shared" si="60"/>
        <v>10</v>
      </c>
      <c r="T37" s="3">
        <v>2</v>
      </c>
      <c r="U37" s="3">
        <v>1</v>
      </c>
      <c r="V37" s="3">
        <v>1</v>
      </c>
      <c r="W37" s="3">
        <v>2</v>
      </c>
      <c r="X37" s="3">
        <v>2</v>
      </c>
      <c r="Y37" s="3">
        <v>0</v>
      </c>
      <c r="Z37" s="3">
        <f t="shared" si="61"/>
        <v>8</v>
      </c>
      <c r="AA37" s="3">
        <v>3</v>
      </c>
      <c r="AB37" s="3">
        <v>3</v>
      </c>
      <c r="AC37" s="3">
        <v>0</v>
      </c>
      <c r="AD37" s="3">
        <v>2</v>
      </c>
      <c r="AE37" s="3">
        <f t="shared" si="62"/>
        <v>8</v>
      </c>
      <c r="AF37" s="3"/>
      <c r="AL37" s="3">
        <v>4</v>
      </c>
      <c r="AM37" s="3">
        <v>6</v>
      </c>
      <c r="AN37" s="3">
        <f t="shared" si="63"/>
        <v>10</v>
      </c>
      <c r="AR37" s="3">
        <v>2</v>
      </c>
      <c r="AS37" s="3">
        <v>1</v>
      </c>
      <c r="AT37" s="3">
        <v>2</v>
      </c>
      <c r="AU37" s="3">
        <v>0</v>
      </c>
      <c r="AV37" s="3">
        <v>1</v>
      </c>
      <c r="AW37" s="3">
        <v>0</v>
      </c>
      <c r="AX37">
        <f t="shared" si="64"/>
        <v>6</v>
      </c>
      <c r="AZ37" s="3">
        <v>2</v>
      </c>
      <c r="BA37" s="3">
        <v>2</v>
      </c>
      <c r="BB37" s="3">
        <v>1</v>
      </c>
      <c r="BC37" s="3">
        <v>0</v>
      </c>
      <c r="BD37" s="3">
        <v>0</v>
      </c>
      <c r="BE37" s="3">
        <v>0</v>
      </c>
      <c r="BF37">
        <f t="shared" si="65"/>
        <v>5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1</v>
      </c>
      <c r="BM37" s="3">
        <f t="shared" si="66"/>
        <v>1</v>
      </c>
      <c r="BO37" s="3">
        <v>5</v>
      </c>
      <c r="BP37" s="3">
        <v>5</v>
      </c>
      <c r="BQ37" s="3">
        <f t="shared" si="67"/>
        <v>10</v>
      </c>
      <c r="BR37" s="3">
        <v>2</v>
      </c>
      <c r="BS37" s="3">
        <v>2</v>
      </c>
      <c r="BT37" s="3">
        <v>1</v>
      </c>
      <c r="BU37" s="3">
        <v>2</v>
      </c>
      <c r="BV37" s="3">
        <v>2</v>
      </c>
      <c r="BW37" s="3">
        <v>1</v>
      </c>
      <c r="BX37" s="3">
        <f t="shared" si="68"/>
        <v>10</v>
      </c>
      <c r="BY37" s="3">
        <v>1</v>
      </c>
      <c r="BZ37" s="3">
        <v>1</v>
      </c>
      <c r="CA37" s="3">
        <v>3</v>
      </c>
      <c r="CB37" s="3">
        <v>2</v>
      </c>
      <c r="CC37" s="3">
        <v>2</v>
      </c>
      <c r="CD37" s="3">
        <v>1</v>
      </c>
      <c r="CE37">
        <f>SUM(BY37:CD37)</f>
        <v>10</v>
      </c>
    </row>
    <row r="38" spans="1:83" ht="15.75" x14ac:dyDescent="0.25">
      <c r="A38" s="11" t="s">
        <v>39</v>
      </c>
      <c r="B38" s="24">
        <f t="shared" si="76"/>
        <v>71</v>
      </c>
      <c r="C38" s="22">
        <f t="shared" si="70"/>
        <v>2</v>
      </c>
      <c r="D38" s="22">
        <f t="shared" si="56"/>
        <v>10</v>
      </c>
      <c r="E38" s="22">
        <f t="shared" si="71"/>
        <v>7</v>
      </c>
      <c r="F38" s="22">
        <f t="shared" si="72"/>
        <v>10</v>
      </c>
      <c r="G38" s="22">
        <f t="shared" si="73"/>
        <v>8</v>
      </c>
      <c r="H38" s="22">
        <f t="shared" si="77"/>
        <v>5</v>
      </c>
      <c r="I38" s="22">
        <f t="shared" si="74"/>
        <v>1</v>
      </c>
      <c r="J38" s="22">
        <f t="shared" si="78"/>
        <v>10</v>
      </c>
      <c r="K38" s="22">
        <f t="shared" si="75"/>
        <v>8</v>
      </c>
      <c r="L38" s="22">
        <f t="shared" si="79"/>
        <v>10</v>
      </c>
      <c r="M38" s="3">
        <v>0</v>
      </c>
      <c r="N38" s="3">
        <v>0</v>
      </c>
      <c r="O38" s="3">
        <v>2</v>
      </c>
      <c r="P38" s="3">
        <v>0</v>
      </c>
      <c r="Q38" s="3">
        <v>0</v>
      </c>
      <c r="R38" s="3">
        <f t="shared" si="60"/>
        <v>2</v>
      </c>
      <c r="T38" s="3">
        <v>2</v>
      </c>
      <c r="U38" s="3">
        <v>1</v>
      </c>
      <c r="V38" s="3">
        <v>1</v>
      </c>
      <c r="W38" s="3">
        <v>2</v>
      </c>
      <c r="X38" s="3">
        <v>2</v>
      </c>
      <c r="Y38" s="3">
        <v>2</v>
      </c>
      <c r="Z38" s="3">
        <f t="shared" si="61"/>
        <v>10</v>
      </c>
      <c r="AA38" s="3">
        <v>3</v>
      </c>
      <c r="AB38" s="3">
        <v>0</v>
      </c>
      <c r="AC38" s="3">
        <v>2</v>
      </c>
      <c r="AD38" s="3">
        <v>2</v>
      </c>
      <c r="AE38" s="3">
        <f t="shared" si="62"/>
        <v>7</v>
      </c>
      <c r="AF38" s="3"/>
      <c r="AL38" s="3">
        <v>4</v>
      </c>
      <c r="AM38" s="3">
        <v>6</v>
      </c>
      <c r="AN38" s="3">
        <f t="shared" si="63"/>
        <v>10</v>
      </c>
      <c r="AR38" s="3">
        <v>2</v>
      </c>
      <c r="AS38" s="3">
        <v>1</v>
      </c>
      <c r="AT38" s="3">
        <v>2</v>
      </c>
      <c r="AU38" s="3">
        <v>0</v>
      </c>
      <c r="AV38" s="3">
        <v>1</v>
      </c>
      <c r="AW38" s="3">
        <v>2</v>
      </c>
      <c r="AX38">
        <f t="shared" si="64"/>
        <v>8</v>
      </c>
      <c r="AZ38" s="3">
        <v>2</v>
      </c>
      <c r="BA38" s="3">
        <v>2</v>
      </c>
      <c r="BB38" s="3">
        <v>1</v>
      </c>
      <c r="BC38" s="3">
        <v>0</v>
      </c>
      <c r="BD38" s="3">
        <v>0</v>
      </c>
      <c r="BE38" s="3">
        <v>0</v>
      </c>
      <c r="BF38">
        <f t="shared" si="65"/>
        <v>5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1</v>
      </c>
      <c r="BM38" s="3">
        <f t="shared" si="66"/>
        <v>1</v>
      </c>
      <c r="BO38" s="3">
        <v>5</v>
      </c>
      <c r="BP38" s="3">
        <v>5</v>
      </c>
      <c r="BQ38" s="3">
        <f t="shared" si="67"/>
        <v>10</v>
      </c>
      <c r="BR38" s="3">
        <v>2</v>
      </c>
      <c r="BS38" s="3">
        <v>2</v>
      </c>
      <c r="BT38" s="3">
        <v>1</v>
      </c>
      <c r="BU38" s="3">
        <v>2</v>
      </c>
      <c r="BV38" s="3">
        <v>0</v>
      </c>
      <c r="BW38" s="3">
        <v>1</v>
      </c>
      <c r="BX38" s="3">
        <f t="shared" si="68"/>
        <v>8</v>
      </c>
      <c r="BY38" s="3">
        <v>1</v>
      </c>
      <c r="BZ38" s="3">
        <v>1</v>
      </c>
      <c r="CA38" s="3">
        <v>3</v>
      </c>
      <c r="CB38" s="3">
        <v>2</v>
      </c>
      <c r="CC38" s="3">
        <v>2</v>
      </c>
      <c r="CD38" s="3">
        <v>1</v>
      </c>
      <c r="CE38">
        <f>SUM(BY38:CD38)</f>
        <v>10</v>
      </c>
    </row>
    <row r="39" spans="1:83" ht="15.75" x14ac:dyDescent="0.25">
      <c r="A39" s="11" t="s">
        <v>23</v>
      </c>
      <c r="B39" s="24">
        <f t="shared" si="76"/>
        <v>72</v>
      </c>
      <c r="C39" s="22">
        <f t="shared" si="70"/>
        <v>5</v>
      </c>
      <c r="D39" s="22">
        <f t="shared" si="56"/>
        <v>6</v>
      </c>
      <c r="E39" s="22">
        <f t="shared" si="71"/>
        <v>7</v>
      </c>
      <c r="F39" s="22">
        <f t="shared" si="72"/>
        <v>10</v>
      </c>
      <c r="G39" s="22">
        <f t="shared" si="73"/>
        <v>7</v>
      </c>
      <c r="H39" s="22">
        <f t="shared" si="77"/>
        <v>3</v>
      </c>
      <c r="I39" s="22">
        <f t="shared" si="74"/>
        <v>4</v>
      </c>
      <c r="J39" s="22">
        <f t="shared" si="78"/>
        <v>10</v>
      </c>
      <c r="K39" s="22">
        <f t="shared" si="75"/>
        <v>10</v>
      </c>
      <c r="L39" s="22">
        <f t="shared" si="79"/>
        <v>10</v>
      </c>
      <c r="M39" s="3">
        <v>0</v>
      </c>
      <c r="N39" s="3">
        <v>0</v>
      </c>
      <c r="O39" s="3">
        <v>2</v>
      </c>
      <c r="P39" s="3">
        <v>3</v>
      </c>
      <c r="Q39" s="3">
        <v>0</v>
      </c>
      <c r="R39" s="3">
        <f t="shared" si="60"/>
        <v>5</v>
      </c>
      <c r="T39" s="3">
        <v>2</v>
      </c>
      <c r="U39" s="3">
        <v>1</v>
      </c>
      <c r="V39" s="3">
        <v>1</v>
      </c>
      <c r="W39" s="3">
        <v>0</v>
      </c>
      <c r="X39" s="3">
        <v>0</v>
      </c>
      <c r="Y39" s="3">
        <v>2</v>
      </c>
      <c r="Z39" s="3">
        <f t="shared" si="61"/>
        <v>6</v>
      </c>
      <c r="AA39" s="3">
        <v>3</v>
      </c>
      <c r="AB39" s="3">
        <v>0</v>
      </c>
      <c r="AC39" s="3">
        <v>2</v>
      </c>
      <c r="AD39" s="3">
        <v>2</v>
      </c>
      <c r="AE39" s="3">
        <f t="shared" si="62"/>
        <v>7</v>
      </c>
      <c r="AF39" s="3"/>
      <c r="AL39" s="3">
        <v>4</v>
      </c>
      <c r="AM39" s="3">
        <v>6</v>
      </c>
      <c r="AN39" s="3">
        <f t="shared" si="63"/>
        <v>10</v>
      </c>
      <c r="AR39" s="3">
        <v>2</v>
      </c>
      <c r="AS39" s="3">
        <v>1</v>
      </c>
      <c r="AT39" s="3">
        <v>2</v>
      </c>
      <c r="AU39" s="3">
        <v>2</v>
      </c>
      <c r="AV39" s="3">
        <v>0</v>
      </c>
      <c r="AW39" s="3">
        <v>0</v>
      </c>
      <c r="AX39">
        <f t="shared" si="64"/>
        <v>7</v>
      </c>
      <c r="AZ39" s="3">
        <v>2</v>
      </c>
      <c r="BA39" s="3">
        <v>0</v>
      </c>
      <c r="BB39" s="3">
        <v>1</v>
      </c>
      <c r="BC39" s="3">
        <v>0</v>
      </c>
      <c r="BD39" s="3">
        <v>0</v>
      </c>
      <c r="BE39" s="3">
        <v>0</v>
      </c>
      <c r="BF39">
        <f t="shared" si="65"/>
        <v>3</v>
      </c>
      <c r="BG39" s="3">
        <v>0</v>
      </c>
      <c r="BH39" s="3">
        <v>0</v>
      </c>
      <c r="BI39" s="3">
        <v>0</v>
      </c>
      <c r="BJ39" s="3">
        <v>2</v>
      </c>
      <c r="BK39" s="3">
        <v>1</v>
      </c>
      <c r="BL39" s="3">
        <v>1</v>
      </c>
      <c r="BM39" s="3">
        <f t="shared" si="66"/>
        <v>4</v>
      </c>
      <c r="BO39" s="3">
        <v>5</v>
      </c>
      <c r="BP39" s="3">
        <v>5</v>
      </c>
      <c r="BQ39" s="3">
        <f t="shared" si="67"/>
        <v>10</v>
      </c>
      <c r="BR39" s="3">
        <v>2</v>
      </c>
      <c r="BS39" s="3">
        <v>2</v>
      </c>
      <c r="BT39" s="3">
        <v>1</v>
      </c>
      <c r="BU39" s="3">
        <v>2</v>
      </c>
      <c r="BV39" s="3">
        <v>2</v>
      </c>
      <c r="BW39" s="3">
        <v>1</v>
      </c>
      <c r="BX39" s="3">
        <f t="shared" si="68"/>
        <v>10</v>
      </c>
      <c r="BY39" s="3">
        <v>1</v>
      </c>
      <c r="BZ39" s="3">
        <v>1</v>
      </c>
      <c r="CA39" s="3">
        <v>3</v>
      </c>
      <c r="CB39" s="3">
        <v>2</v>
      </c>
      <c r="CC39" s="3">
        <v>2</v>
      </c>
      <c r="CD39" s="3">
        <v>1</v>
      </c>
      <c r="CE39">
        <f>SUM(BY39:CD39)</f>
        <v>10</v>
      </c>
    </row>
    <row r="40" spans="1:83" ht="15.75" x14ac:dyDescent="0.25">
      <c r="A40" s="11" t="s">
        <v>7</v>
      </c>
      <c r="B40" s="24">
        <f t="shared" si="76"/>
        <v>52</v>
      </c>
      <c r="C40" s="22">
        <f t="shared" si="70"/>
        <v>3</v>
      </c>
      <c r="D40" s="22">
        <f t="shared" si="56"/>
        <v>8</v>
      </c>
      <c r="E40" s="22">
        <f t="shared" si="71"/>
        <v>9</v>
      </c>
      <c r="F40" s="22">
        <f t="shared" si="72"/>
        <v>0</v>
      </c>
      <c r="G40" s="22">
        <f t="shared" si="73"/>
        <v>4</v>
      </c>
      <c r="H40" s="22">
        <f t="shared" si="77"/>
        <v>3</v>
      </c>
      <c r="I40" s="22">
        <f t="shared" si="74"/>
        <v>1</v>
      </c>
      <c r="J40" s="22">
        <f t="shared" si="78"/>
        <v>10</v>
      </c>
      <c r="K40" s="22">
        <f t="shared" si="75"/>
        <v>9</v>
      </c>
      <c r="L40" s="22">
        <f t="shared" si="79"/>
        <v>5</v>
      </c>
      <c r="M40" s="3">
        <v>0</v>
      </c>
      <c r="N40" s="3">
        <v>1</v>
      </c>
      <c r="O40" s="3">
        <v>2</v>
      </c>
      <c r="P40" s="3">
        <v>0</v>
      </c>
      <c r="Q40" s="3">
        <v>0</v>
      </c>
      <c r="R40" s="3">
        <f t="shared" si="60"/>
        <v>3</v>
      </c>
      <c r="T40" s="3">
        <v>2</v>
      </c>
      <c r="U40" s="3">
        <v>1</v>
      </c>
      <c r="V40" s="3">
        <v>1</v>
      </c>
      <c r="W40" s="3">
        <v>2</v>
      </c>
      <c r="X40" s="3">
        <v>0</v>
      </c>
      <c r="Y40" s="3">
        <v>2</v>
      </c>
      <c r="Z40" s="3">
        <f t="shared" si="61"/>
        <v>8</v>
      </c>
      <c r="AA40" s="3">
        <v>3</v>
      </c>
      <c r="AB40" s="3">
        <v>3</v>
      </c>
      <c r="AC40" s="3">
        <v>2</v>
      </c>
      <c r="AD40" s="3">
        <v>1</v>
      </c>
      <c r="AE40" s="3">
        <f t="shared" si="62"/>
        <v>9</v>
      </c>
      <c r="AF40" s="3"/>
      <c r="AL40" s="3">
        <v>0</v>
      </c>
      <c r="AM40" s="3">
        <v>0</v>
      </c>
      <c r="AN40" s="3">
        <f t="shared" si="63"/>
        <v>0</v>
      </c>
      <c r="AR40" s="3">
        <v>2</v>
      </c>
      <c r="AS40" s="3">
        <v>1</v>
      </c>
      <c r="AT40" s="3">
        <v>0</v>
      </c>
      <c r="AU40" s="3">
        <v>0</v>
      </c>
      <c r="AV40" s="3">
        <v>1</v>
      </c>
      <c r="AW40" s="3">
        <v>0</v>
      </c>
      <c r="AX40">
        <f t="shared" si="64"/>
        <v>4</v>
      </c>
      <c r="AZ40" s="3">
        <v>2</v>
      </c>
      <c r="BA40" s="3">
        <v>0</v>
      </c>
      <c r="BB40" s="3">
        <v>1</v>
      </c>
      <c r="BC40" s="3">
        <v>0</v>
      </c>
      <c r="BD40" s="3">
        <v>0</v>
      </c>
      <c r="BE40" s="3">
        <v>0</v>
      </c>
      <c r="BF40">
        <f t="shared" si="65"/>
        <v>3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1</v>
      </c>
      <c r="BM40" s="3">
        <f t="shared" si="66"/>
        <v>1</v>
      </c>
      <c r="BO40" s="3">
        <v>5</v>
      </c>
      <c r="BP40" s="3">
        <v>5</v>
      </c>
      <c r="BQ40" s="3">
        <f t="shared" si="67"/>
        <v>10</v>
      </c>
      <c r="BR40" s="3">
        <v>2</v>
      </c>
      <c r="BS40" s="3">
        <v>1</v>
      </c>
      <c r="BT40" s="3">
        <v>1</v>
      </c>
      <c r="BU40" s="3">
        <v>2</v>
      </c>
      <c r="BV40" s="3">
        <v>2</v>
      </c>
      <c r="BW40" s="3">
        <v>1</v>
      </c>
      <c r="BX40" s="3">
        <f t="shared" si="68"/>
        <v>9</v>
      </c>
      <c r="BY40" s="3">
        <v>1</v>
      </c>
      <c r="BZ40" s="3">
        <v>1</v>
      </c>
      <c r="CA40" s="3">
        <v>0</v>
      </c>
      <c r="CB40" s="3">
        <v>2</v>
      </c>
      <c r="CC40" s="3">
        <v>0</v>
      </c>
      <c r="CD40" s="3">
        <v>1</v>
      </c>
      <c r="CE40">
        <f t="shared" si="69"/>
        <v>5</v>
      </c>
    </row>
    <row r="41" spans="1:83" ht="15.75" x14ac:dyDescent="0.25">
      <c r="A41" s="11" t="s">
        <v>29</v>
      </c>
      <c r="B41" s="24">
        <f t="shared" si="76"/>
        <v>60</v>
      </c>
      <c r="C41" s="22">
        <f t="shared" si="70"/>
        <v>6</v>
      </c>
      <c r="D41" s="22">
        <f t="shared" si="56"/>
        <v>8</v>
      </c>
      <c r="E41" s="22">
        <f t="shared" si="71"/>
        <v>5</v>
      </c>
      <c r="F41" s="22">
        <f t="shared" si="72"/>
        <v>0</v>
      </c>
      <c r="G41" s="22">
        <f t="shared" si="73"/>
        <v>7</v>
      </c>
      <c r="H41" s="22">
        <f t="shared" si="77"/>
        <v>7</v>
      </c>
      <c r="I41" s="22">
        <f t="shared" si="74"/>
        <v>0</v>
      </c>
      <c r="J41" s="22">
        <f t="shared" si="78"/>
        <v>10</v>
      </c>
      <c r="K41" s="22">
        <f t="shared" si="75"/>
        <v>8</v>
      </c>
      <c r="L41" s="22">
        <f t="shared" si="79"/>
        <v>9</v>
      </c>
      <c r="M41" s="3">
        <v>0</v>
      </c>
      <c r="N41" s="3">
        <v>1</v>
      </c>
      <c r="O41" s="3">
        <v>2</v>
      </c>
      <c r="P41" s="3">
        <v>3</v>
      </c>
      <c r="Q41" s="3">
        <v>0</v>
      </c>
      <c r="R41" s="3">
        <f t="shared" si="60"/>
        <v>6</v>
      </c>
      <c r="T41" s="3">
        <v>2</v>
      </c>
      <c r="U41" s="3">
        <v>1</v>
      </c>
      <c r="V41" s="3">
        <v>1</v>
      </c>
      <c r="W41" s="3">
        <v>2</v>
      </c>
      <c r="X41" s="3">
        <v>2</v>
      </c>
      <c r="Y41" s="3">
        <v>0</v>
      </c>
      <c r="Z41" s="3">
        <f t="shared" si="61"/>
        <v>8</v>
      </c>
      <c r="AA41" s="3">
        <v>3</v>
      </c>
      <c r="AB41" s="3">
        <v>0</v>
      </c>
      <c r="AC41" s="3">
        <v>0</v>
      </c>
      <c r="AD41" s="3">
        <v>2</v>
      </c>
      <c r="AE41" s="3">
        <f t="shared" si="62"/>
        <v>5</v>
      </c>
      <c r="AF41" s="3"/>
      <c r="AL41" s="3">
        <v>0</v>
      </c>
      <c r="AM41" s="3">
        <v>0</v>
      </c>
      <c r="AN41" s="3">
        <f t="shared" si="63"/>
        <v>0</v>
      </c>
      <c r="AR41" s="3">
        <v>2</v>
      </c>
      <c r="AS41" s="3">
        <v>1</v>
      </c>
      <c r="AT41" s="3">
        <v>1</v>
      </c>
      <c r="AU41" s="3">
        <v>0</v>
      </c>
      <c r="AV41" s="3">
        <v>1</v>
      </c>
      <c r="AW41" s="3">
        <v>2</v>
      </c>
      <c r="AX41">
        <f t="shared" si="64"/>
        <v>7</v>
      </c>
      <c r="AZ41" s="3">
        <v>2</v>
      </c>
      <c r="BA41" s="3">
        <v>0</v>
      </c>
      <c r="BB41" s="3">
        <v>1</v>
      </c>
      <c r="BC41" s="3">
        <v>2</v>
      </c>
      <c r="BD41" s="3">
        <v>2</v>
      </c>
      <c r="BE41" s="3">
        <v>0</v>
      </c>
      <c r="BF41">
        <f t="shared" si="65"/>
        <v>7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f t="shared" si="66"/>
        <v>0</v>
      </c>
      <c r="BO41" s="3">
        <v>5</v>
      </c>
      <c r="BP41" s="3">
        <v>5</v>
      </c>
      <c r="BQ41" s="3">
        <f t="shared" si="67"/>
        <v>10</v>
      </c>
      <c r="BR41" s="3">
        <v>2</v>
      </c>
      <c r="BS41" s="3">
        <v>2</v>
      </c>
      <c r="BT41" s="3">
        <v>1</v>
      </c>
      <c r="BU41" s="3">
        <v>2</v>
      </c>
      <c r="BV41" s="3">
        <v>0</v>
      </c>
      <c r="BW41" s="3">
        <v>1</v>
      </c>
      <c r="BX41" s="3">
        <f t="shared" si="68"/>
        <v>8</v>
      </c>
      <c r="BY41" s="3">
        <v>1</v>
      </c>
      <c r="BZ41" s="3">
        <v>1</v>
      </c>
      <c r="CA41" s="3">
        <v>3</v>
      </c>
      <c r="CB41" s="3">
        <v>2</v>
      </c>
      <c r="CC41" s="3">
        <v>1</v>
      </c>
      <c r="CD41" s="3">
        <v>1</v>
      </c>
      <c r="CE41">
        <f t="shared" si="69"/>
        <v>9</v>
      </c>
    </row>
    <row r="42" spans="1:83" ht="15.75" x14ac:dyDescent="0.25">
      <c r="A42" s="11" t="s">
        <v>22</v>
      </c>
      <c r="B42" s="24">
        <f t="shared" si="76"/>
        <v>42</v>
      </c>
      <c r="C42" s="22">
        <f t="shared" si="70"/>
        <v>0</v>
      </c>
      <c r="D42" s="22">
        <f t="shared" si="56"/>
        <v>3</v>
      </c>
      <c r="E42" s="22">
        <f t="shared" si="71"/>
        <v>3</v>
      </c>
      <c r="F42" s="22">
        <f t="shared" si="72"/>
        <v>10</v>
      </c>
      <c r="G42" s="22">
        <f t="shared" si="73"/>
        <v>3</v>
      </c>
      <c r="H42" s="22">
        <f t="shared" si="77"/>
        <v>5</v>
      </c>
      <c r="I42" s="22">
        <f t="shared" si="74"/>
        <v>0</v>
      </c>
      <c r="J42" s="22">
        <f t="shared" si="78"/>
        <v>8</v>
      </c>
      <c r="K42" s="22">
        <f t="shared" si="75"/>
        <v>10</v>
      </c>
      <c r="L42" s="22">
        <f t="shared" si="79"/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f t="shared" si="60"/>
        <v>0</v>
      </c>
      <c r="T42" s="3">
        <v>2</v>
      </c>
      <c r="U42" s="3">
        <v>0</v>
      </c>
      <c r="V42" s="3">
        <v>1</v>
      </c>
      <c r="W42" s="3">
        <v>0</v>
      </c>
      <c r="X42" s="3">
        <v>0</v>
      </c>
      <c r="Y42" s="3">
        <v>0</v>
      </c>
      <c r="Z42" s="3">
        <f t="shared" si="61"/>
        <v>3</v>
      </c>
      <c r="AA42" s="3">
        <v>3</v>
      </c>
      <c r="AB42" s="3">
        <v>0</v>
      </c>
      <c r="AC42" s="3">
        <v>0</v>
      </c>
      <c r="AD42" s="3">
        <v>0</v>
      </c>
      <c r="AE42" s="3">
        <f t="shared" si="62"/>
        <v>3</v>
      </c>
      <c r="AF42" s="3"/>
      <c r="AL42" s="3">
        <v>4</v>
      </c>
      <c r="AM42" s="3">
        <v>6</v>
      </c>
      <c r="AN42" s="3">
        <f t="shared" si="63"/>
        <v>10</v>
      </c>
      <c r="AR42" s="3">
        <v>2</v>
      </c>
      <c r="AS42" s="3">
        <v>1</v>
      </c>
      <c r="AT42" s="3">
        <v>0</v>
      </c>
      <c r="AU42" s="3">
        <v>0</v>
      </c>
      <c r="AV42" s="3">
        <v>0</v>
      </c>
      <c r="AW42" s="3">
        <v>0</v>
      </c>
      <c r="AX42">
        <f t="shared" si="64"/>
        <v>3</v>
      </c>
      <c r="AZ42" s="3">
        <v>2</v>
      </c>
      <c r="BA42" s="3">
        <v>0</v>
      </c>
      <c r="BB42" s="3">
        <v>1</v>
      </c>
      <c r="BC42" s="3">
        <v>2</v>
      </c>
      <c r="BD42" s="3">
        <v>0</v>
      </c>
      <c r="BE42" s="3">
        <v>0</v>
      </c>
      <c r="BF42">
        <f t="shared" si="65"/>
        <v>5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f t="shared" si="66"/>
        <v>0</v>
      </c>
      <c r="BO42" s="3">
        <v>3</v>
      </c>
      <c r="BP42" s="3">
        <v>5</v>
      </c>
      <c r="BQ42" s="3">
        <f t="shared" si="67"/>
        <v>8</v>
      </c>
      <c r="BR42" s="3">
        <v>2</v>
      </c>
      <c r="BS42" s="3">
        <v>2</v>
      </c>
      <c r="BT42" s="3">
        <v>1</v>
      </c>
      <c r="BU42" s="3">
        <v>2</v>
      </c>
      <c r="BV42" s="3">
        <v>2</v>
      </c>
      <c r="BW42" s="3">
        <v>1</v>
      </c>
      <c r="BX42" s="3">
        <f t="shared" si="68"/>
        <v>10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>
        <f t="shared" si="69"/>
        <v>0</v>
      </c>
    </row>
    <row r="43" spans="1:83" ht="15.75" x14ac:dyDescent="0.25">
      <c r="A43" s="11" t="s">
        <v>205</v>
      </c>
      <c r="B43" s="1">
        <f>COUNT(B28:B42)</f>
        <v>15</v>
      </c>
      <c r="M43" s="3"/>
      <c r="N43" s="3"/>
      <c r="O43" s="3"/>
      <c r="P43" s="3"/>
      <c r="Q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83" ht="15.75" x14ac:dyDescent="0.25">
      <c r="A44" s="26" t="s">
        <v>202</v>
      </c>
      <c r="B44" s="28">
        <f>AVERAGE(B28:B43)</f>
        <v>53.25</v>
      </c>
      <c r="C44" s="27">
        <f>AVERAGE(C28:C42)</f>
        <v>4.2666666666666666</v>
      </c>
      <c r="D44" s="27">
        <f t="shared" ref="D44:L44" si="80">AVERAGE(D28:D42)</f>
        <v>6.2666666666666666</v>
      </c>
      <c r="E44" s="27">
        <f t="shared" si="80"/>
        <v>6.1333333333333337</v>
      </c>
      <c r="F44" s="27">
        <f t="shared" si="80"/>
        <v>5.7333333333333334</v>
      </c>
      <c r="G44" s="27">
        <f t="shared" si="80"/>
        <v>5.6</v>
      </c>
      <c r="H44" s="27">
        <f t="shared" si="80"/>
        <v>3.4666666666666668</v>
      </c>
      <c r="I44" s="27">
        <f t="shared" si="80"/>
        <v>0.6</v>
      </c>
      <c r="J44" s="27">
        <f t="shared" si="80"/>
        <v>8.3333333333333339</v>
      </c>
      <c r="K44" s="27">
        <f t="shared" si="80"/>
        <v>8</v>
      </c>
      <c r="L44" s="27">
        <f t="shared" si="80"/>
        <v>7.4</v>
      </c>
      <c r="M44" s="3"/>
      <c r="N44" s="3"/>
      <c r="O44" s="3"/>
      <c r="P44" s="3"/>
      <c r="Q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83" ht="180.75" x14ac:dyDescent="0.25">
      <c r="B45" s="1" t="s">
        <v>201</v>
      </c>
      <c r="C45" s="3">
        <v>1</v>
      </c>
      <c r="D45" s="10" t="s">
        <v>203</v>
      </c>
      <c r="E45" s="3">
        <v>3</v>
      </c>
      <c r="F45" s="3">
        <v>4</v>
      </c>
      <c r="G45" s="3">
        <v>5</v>
      </c>
      <c r="H45" s="3">
        <v>6</v>
      </c>
      <c r="I45" s="10" t="s">
        <v>204</v>
      </c>
      <c r="J45" s="3">
        <v>8</v>
      </c>
      <c r="K45" s="3">
        <v>9</v>
      </c>
      <c r="L45" s="3">
        <v>10</v>
      </c>
      <c r="M45" s="13" t="s">
        <v>160</v>
      </c>
      <c r="N45" s="13" t="s">
        <v>161</v>
      </c>
      <c r="O45" s="13" t="s">
        <v>162</v>
      </c>
      <c r="P45" s="13" t="s">
        <v>163</v>
      </c>
      <c r="Q45" s="13" t="s">
        <v>115</v>
      </c>
      <c r="R45" s="13" t="s">
        <v>164</v>
      </c>
      <c r="T45" s="13" t="s">
        <v>165</v>
      </c>
      <c r="U45" s="13" t="s">
        <v>166</v>
      </c>
      <c r="V45" s="13" t="s">
        <v>167</v>
      </c>
      <c r="W45" s="13" t="s">
        <v>168</v>
      </c>
      <c r="X45" s="13" t="s">
        <v>169</v>
      </c>
      <c r="Y45" s="13" t="s">
        <v>170</v>
      </c>
      <c r="Z45" s="3"/>
      <c r="AA45" s="13" t="s">
        <v>171</v>
      </c>
      <c r="AB45" s="13" t="s">
        <v>172</v>
      </c>
      <c r="AC45" s="13" t="s">
        <v>173</v>
      </c>
      <c r="AD45" s="13" t="s">
        <v>207</v>
      </c>
      <c r="AE45" s="13" t="s">
        <v>206</v>
      </c>
      <c r="AF45" s="13" t="s">
        <v>174</v>
      </c>
      <c r="AG45" s="13" t="s">
        <v>163</v>
      </c>
      <c r="AH45" s="13" t="s">
        <v>175</v>
      </c>
      <c r="AL45" s="13" t="s">
        <v>176</v>
      </c>
      <c r="AM45" s="13" t="s">
        <v>177</v>
      </c>
      <c r="AN45" s="13" t="s">
        <v>178</v>
      </c>
      <c r="AO45" s="13" t="s">
        <v>179</v>
      </c>
      <c r="AP45" s="13" t="s">
        <v>180</v>
      </c>
      <c r="AQ45" s="13"/>
      <c r="AR45" s="13" t="s">
        <v>181</v>
      </c>
      <c r="AS45" s="13" t="s">
        <v>182</v>
      </c>
      <c r="AT45" s="13" t="s">
        <v>183</v>
      </c>
      <c r="AU45" s="13" t="s">
        <v>184</v>
      </c>
      <c r="AV45" s="13" t="s">
        <v>185</v>
      </c>
      <c r="AW45" s="13" t="s">
        <v>186</v>
      </c>
      <c r="AZ45" s="13" t="s">
        <v>187</v>
      </c>
      <c r="BA45" s="13" t="s">
        <v>188</v>
      </c>
      <c r="BB45" s="13" t="s">
        <v>138</v>
      </c>
      <c r="BC45" s="13" t="s">
        <v>139</v>
      </c>
      <c r="BD45" s="13" t="s">
        <v>140</v>
      </c>
      <c r="BE45" s="13" t="s">
        <v>141</v>
      </c>
      <c r="BG45" s="13" t="s">
        <v>189</v>
      </c>
      <c r="BH45" s="13" t="s">
        <v>190</v>
      </c>
      <c r="BI45" s="13" t="s">
        <v>127</v>
      </c>
      <c r="BJ45" s="13" t="s">
        <v>191</v>
      </c>
      <c r="BO45" s="15" t="s">
        <v>196</v>
      </c>
      <c r="BP45" s="14" t="s">
        <v>197</v>
      </c>
      <c r="BR45" s="13"/>
      <c r="BS45" s="13" t="s">
        <v>192</v>
      </c>
      <c r="BT45" s="13" t="s">
        <v>193</v>
      </c>
      <c r="BU45" s="13" t="s">
        <v>194</v>
      </c>
      <c r="BY45" s="13" t="s">
        <v>195</v>
      </c>
      <c r="BZ45" s="13" t="s">
        <v>153</v>
      </c>
      <c r="CA45" s="13" t="s">
        <v>154</v>
      </c>
      <c r="CB45" s="13" t="s">
        <v>155</v>
      </c>
      <c r="CC45" s="13" t="s">
        <v>156</v>
      </c>
      <c r="CD45" s="13" t="s">
        <v>157</v>
      </c>
    </row>
    <row r="46" spans="1:83" x14ac:dyDescent="0.25">
      <c r="M46" s="3">
        <v>3</v>
      </c>
      <c r="N46" s="3">
        <v>2</v>
      </c>
      <c r="O46" s="3">
        <v>2</v>
      </c>
      <c r="P46" s="3">
        <v>1</v>
      </c>
      <c r="Q46" s="3">
        <v>1</v>
      </c>
      <c r="R46" s="3">
        <v>1</v>
      </c>
      <c r="S46" s="3">
        <f>SUM(M46:R46)</f>
        <v>10</v>
      </c>
      <c r="T46" s="3">
        <v>2</v>
      </c>
      <c r="U46" s="3">
        <v>1</v>
      </c>
      <c r="V46" s="3">
        <v>2</v>
      </c>
      <c r="W46" s="3">
        <v>2</v>
      </c>
      <c r="X46" s="3">
        <v>2</v>
      </c>
      <c r="Y46" s="3">
        <v>1</v>
      </c>
      <c r="Z46" s="3">
        <f>SUM(T46:Y46)</f>
        <v>10</v>
      </c>
      <c r="AA46" s="3">
        <v>1</v>
      </c>
      <c r="AB46" s="3">
        <v>1</v>
      </c>
      <c r="AC46" s="3">
        <v>1</v>
      </c>
      <c r="AD46" s="3">
        <v>2</v>
      </c>
      <c r="AE46" s="3">
        <v>2</v>
      </c>
      <c r="AF46" s="3">
        <v>1</v>
      </c>
      <c r="AG46" s="3">
        <v>1</v>
      </c>
      <c r="AH46" s="3">
        <v>1</v>
      </c>
      <c r="AI46" s="3">
        <f>SUM(AA46:AH46)</f>
        <v>10</v>
      </c>
      <c r="AJ46" s="3"/>
      <c r="AK46" s="3"/>
      <c r="AL46" s="3">
        <v>2</v>
      </c>
      <c r="AM46" s="3">
        <v>3</v>
      </c>
      <c r="AN46" s="3">
        <v>3</v>
      </c>
      <c r="AO46" s="3">
        <v>1</v>
      </c>
      <c r="AP46" s="3">
        <v>1</v>
      </c>
      <c r="AQ46" s="3">
        <f>SUM(AL46:AP46)</f>
        <v>10</v>
      </c>
      <c r="AR46" s="3">
        <v>2</v>
      </c>
      <c r="AS46" s="3">
        <v>1</v>
      </c>
      <c r="AT46" s="3">
        <v>2</v>
      </c>
      <c r="AU46" s="3">
        <v>3</v>
      </c>
      <c r="AV46" s="3">
        <v>1</v>
      </c>
      <c r="AW46" s="3">
        <v>1</v>
      </c>
      <c r="AX46" s="3">
        <f>SUM(AR46:AW46)</f>
        <v>10</v>
      </c>
      <c r="AY46" s="3"/>
      <c r="AZ46" s="3">
        <v>2</v>
      </c>
      <c r="BA46" s="3">
        <v>2</v>
      </c>
      <c r="BB46" s="3">
        <v>1</v>
      </c>
      <c r="BC46" s="3">
        <v>3</v>
      </c>
      <c r="BD46" s="3">
        <v>1</v>
      </c>
      <c r="BE46" s="3">
        <v>1</v>
      </c>
      <c r="BF46" s="3">
        <f>SUM(AZ46:BE46)</f>
        <v>10</v>
      </c>
      <c r="BG46" s="3">
        <v>2</v>
      </c>
      <c r="BH46" s="3">
        <v>4</v>
      </c>
      <c r="BI46" s="3">
        <v>3</v>
      </c>
      <c r="BJ46" s="3">
        <v>1</v>
      </c>
      <c r="BK46" s="3">
        <f>SUM(BG46:BJ46)</f>
        <v>10</v>
      </c>
      <c r="BL46" s="3"/>
      <c r="BM46" s="3"/>
      <c r="BN46" s="3"/>
      <c r="BO46" s="3">
        <v>5</v>
      </c>
      <c r="BP46" s="3">
        <v>5</v>
      </c>
      <c r="BQ46" s="3">
        <f>SUM(BO46:BP46)</f>
        <v>10</v>
      </c>
      <c r="BR46" s="3"/>
      <c r="BS46" s="3">
        <v>4</v>
      </c>
      <c r="BT46" s="3">
        <v>4</v>
      </c>
      <c r="BU46" s="3">
        <v>2</v>
      </c>
      <c r="BV46" s="3">
        <f>SUM(BS46:BU46)</f>
        <v>10</v>
      </c>
      <c r="BW46" s="3"/>
      <c r="BX46" s="3"/>
      <c r="BY46" s="3">
        <v>1</v>
      </c>
      <c r="BZ46" s="3">
        <v>1</v>
      </c>
      <c r="CA46" s="3">
        <v>3</v>
      </c>
      <c r="CB46" s="3">
        <v>2</v>
      </c>
      <c r="CC46" s="3">
        <v>2</v>
      </c>
      <c r="CD46" s="3">
        <v>1</v>
      </c>
      <c r="CE46" s="3">
        <f>SUM(BY46:CD46)</f>
        <v>10</v>
      </c>
    </row>
    <row r="47" spans="1:83" x14ac:dyDescent="0.25">
      <c r="M47" s="3"/>
      <c r="N47" s="3"/>
      <c r="O47" s="3"/>
      <c r="P47" s="3"/>
      <c r="Q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I47" s="3"/>
      <c r="AQ47" s="3"/>
      <c r="AX47" s="3"/>
      <c r="BF47" s="3"/>
      <c r="BI47" s="12"/>
      <c r="BK47" s="3"/>
      <c r="BO47" s="16"/>
      <c r="BQ47" s="3"/>
      <c r="BV47" s="3"/>
      <c r="CE47" s="3"/>
    </row>
    <row r="48" spans="1:83" ht="15.75" x14ac:dyDescent="0.25">
      <c r="A48" s="11" t="s">
        <v>10</v>
      </c>
      <c r="B48" s="24">
        <f t="shared" ref="B48" si="81">SUM(C48:L48)</f>
        <v>46</v>
      </c>
      <c r="C48" s="22">
        <f t="shared" ref="C48" si="82">S48</f>
        <v>1</v>
      </c>
      <c r="D48" s="22">
        <f t="shared" ref="D48" si="83">Z48</f>
        <v>0</v>
      </c>
      <c r="E48" s="22">
        <f>AI48</f>
        <v>5</v>
      </c>
      <c r="F48" s="22">
        <f>AQ48</f>
        <v>8</v>
      </c>
      <c r="G48" s="22">
        <f>AX48</f>
        <v>5</v>
      </c>
      <c r="H48" s="22">
        <f>BF48</f>
        <v>6</v>
      </c>
      <c r="I48" s="22">
        <f>BK48</f>
        <v>10</v>
      </c>
      <c r="J48" s="22">
        <f>BQ48</f>
        <v>5</v>
      </c>
      <c r="K48" s="22">
        <f>BV48</f>
        <v>3</v>
      </c>
      <c r="L48" s="22">
        <f t="shared" ref="L48" si="84">CE48</f>
        <v>3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1</v>
      </c>
      <c r="S48" s="3">
        <f t="shared" ref="S48:S64" si="85">SUM(M48:R48)</f>
        <v>1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f t="shared" ref="Z48:Z64" si="86">SUM(T48:Y48)</f>
        <v>0</v>
      </c>
      <c r="AA48" s="3">
        <v>1</v>
      </c>
      <c r="AB48" s="3">
        <v>0</v>
      </c>
      <c r="AC48" s="3">
        <v>1</v>
      </c>
      <c r="AD48" s="3">
        <v>2</v>
      </c>
      <c r="AE48" s="3">
        <v>1</v>
      </c>
      <c r="AF48" s="3">
        <v>0</v>
      </c>
      <c r="AG48" s="3">
        <v>0</v>
      </c>
      <c r="AH48" s="3">
        <v>0</v>
      </c>
      <c r="AI48" s="3">
        <f t="shared" ref="AI48:AI64" si="87">SUM(AA48:AH48)</f>
        <v>5</v>
      </c>
      <c r="AL48" s="3">
        <v>2</v>
      </c>
      <c r="AM48" s="3">
        <v>3</v>
      </c>
      <c r="AN48" s="3">
        <v>3</v>
      </c>
      <c r="AO48" s="3">
        <v>0</v>
      </c>
      <c r="AP48" s="3">
        <v>0</v>
      </c>
      <c r="AQ48" s="3">
        <f t="shared" ref="AQ48:AQ64" si="88">SUM(AL48:AP48)</f>
        <v>8</v>
      </c>
      <c r="AR48" s="3">
        <v>0</v>
      </c>
      <c r="AS48" s="3">
        <v>0</v>
      </c>
      <c r="AT48" s="3">
        <v>0</v>
      </c>
      <c r="AU48" s="3">
        <v>3</v>
      </c>
      <c r="AV48" s="3">
        <v>1</v>
      </c>
      <c r="AW48" s="3">
        <v>1</v>
      </c>
      <c r="AX48" s="3">
        <f t="shared" ref="AX48:AX64" si="89">SUM(AR48:AW48)</f>
        <v>5</v>
      </c>
      <c r="AZ48" s="3">
        <v>2</v>
      </c>
      <c r="BA48" s="3">
        <v>2</v>
      </c>
      <c r="BB48" s="3">
        <v>0</v>
      </c>
      <c r="BC48" s="3">
        <v>2</v>
      </c>
      <c r="BD48" s="3">
        <v>0</v>
      </c>
      <c r="BE48" s="3">
        <v>0</v>
      </c>
      <c r="BF48" s="3">
        <f t="shared" ref="BF48:BF64" si="90">SUM(AZ48:BE48)</f>
        <v>6</v>
      </c>
      <c r="BG48" s="3">
        <v>2</v>
      </c>
      <c r="BH48" s="3">
        <v>4</v>
      </c>
      <c r="BI48" s="3">
        <v>3</v>
      </c>
      <c r="BJ48" s="3">
        <v>1</v>
      </c>
      <c r="BK48" s="3">
        <f t="shared" ref="BK48:BK64" si="91">SUM(BG48:BJ48)</f>
        <v>10</v>
      </c>
      <c r="BO48" s="3">
        <v>5</v>
      </c>
      <c r="BP48" s="3">
        <v>0</v>
      </c>
      <c r="BQ48" s="3">
        <f>SUM(BO48:BP48)</f>
        <v>5</v>
      </c>
      <c r="BS48" s="3">
        <v>1</v>
      </c>
      <c r="BT48" s="3">
        <v>0</v>
      </c>
      <c r="BU48" s="3">
        <v>2</v>
      </c>
      <c r="BV48" s="3">
        <f t="shared" ref="BV48:BV64" si="92">SUM(BS48:BU48)</f>
        <v>3</v>
      </c>
      <c r="BY48" s="3">
        <v>0</v>
      </c>
      <c r="BZ48" s="3">
        <v>0</v>
      </c>
      <c r="CA48" s="3">
        <v>0</v>
      </c>
      <c r="CB48" s="3">
        <v>2</v>
      </c>
      <c r="CC48" s="3">
        <v>0</v>
      </c>
      <c r="CD48" s="3">
        <v>1</v>
      </c>
      <c r="CE48" s="3">
        <f t="shared" ref="CE48:CE64" si="93">SUM(BY48:CD48)</f>
        <v>3</v>
      </c>
    </row>
    <row r="49" spans="1:83" ht="15.75" x14ac:dyDescent="0.25">
      <c r="A49" s="11" t="s">
        <v>20</v>
      </c>
      <c r="B49" s="24">
        <f t="shared" ref="B49:B64" si="94">SUM(C49:L49)</f>
        <v>58</v>
      </c>
      <c r="C49" s="22">
        <f t="shared" ref="C49:C64" si="95">S49</f>
        <v>10</v>
      </c>
      <c r="D49" s="22">
        <f t="shared" ref="D49:D64" si="96">Z49</f>
        <v>3</v>
      </c>
      <c r="E49" s="22">
        <f t="shared" ref="E49:E64" si="97">AI49</f>
        <v>2</v>
      </c>
      <c r="F49" s="22">
        <f t="shared" ref="F49:F64" si="98">AQ49</f>
        <v>8</v>
      </c>
      <c r="G49" s="22">
        <f t="shared" ref="G49:G64" si="99">AX49</f>
        <v>3</v>
      </c>
      <c r="H49" s="22">
        <f t="shared" ref="H49:H64" si="100">BF49</f>
        <v>2</v>
      </c>
      <c r="I49" s="22">
        <f t="shared" ref="I49:I64" si="101">BK49</f>
        <v>7</v>
      </c>
      <c r="J49" s="22">
        <f t="shared" ref="J49:J64" si="102">BQ49</f>
        <v>6</v>
      </c>
      <c r="K49" s="22">
        <f t="shared" ref="K49:K64" si="103">BV49</f>
        <v>10</v>
      </c>
      <c r="L49" s="22">
        <f t="shared" ref="L49:L64" si="104">CE49</f>
        <v>7</v>
      </c>
      <c r="M49" s="3">
        <v>3</v>
      </c>
      <c r="N49" s="3">
        <v>2</v>
      </c>
      <c r="O49" s="3">
        <v>2</v>
      </c>
      <c r="P49" s="3">
        <v>1</v>
      </c>
      <c r="Q49" s="3">
        <v>1</v>
      </c>
      <c r="R49" s="3">
        <v>1</v>
      </c>
      <c r="S49" s="3">
        <f t="shared" si="85"/>
        <v>10</v>
      </c>
      <c r="T49" s="3">
        <v>2</v>
      </c>
      <c r="U49" s="3">
        <v>1</v>
      </c>
      <c r="V49" s="3">
        <v>0</v>
      </c>
      <c r="W49" s="3">
        <v>0</v>
      </c>
      <c r="X49" s="3">
        <v>0</v>
      </c>
      <c r="Y49" s="3">
        <v>0</v>
      </c>
      <c r="Z49" s="3">
        <f t="shared" si="86"/>
        <v>3</v>
      </c>
      <c r="AA49" s="3">
        <v>0</v>
      </c>
      <c r="AB49" s="3">
        <v>1</v>
      </c>
      <c r="AC49" s="3">
        <v>1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f t="shared" si="87"/>
        <v>2</v>
      </c>
      <c r="AK49" s="12"/>
      <c r="AL49" s="3">
        <v>2</v>
      </c>
      <c r="AM49" s="3">
        <v>3</v>
      </c>
      <c r="AN49" s="3">
        <v>3</v>
      </c>
      <c r="AO49" s="3">
        <v>0</v>
      </c>
      <c r="AP49" s="3">
        <v>0</v>
      </c>
      <c r="AQ49" s="3">
        <f t="shared" si="88"/>
        <v>8</v>
      </c>
      <c r="AR49" s="3">
        <v>2</v>
      </c>
      <c r="AS49" s="3">
        <v>0</v>
      </c>
      <c r="AT49" s="3">
        <v>0</v>
      </c>
      <c r="AU49" s="3">
        <v>0</v>
      </c>
      <c r="AV49" s="3">
        <v>1</v>
      </c>
      <c r="AW49" s="3">
        <v>0</v>
      </c>
      <c r="AX49" s="3">
        <f t="shared" si="89"/>
        <v>3</v>
      </c>
      <c r="AZ49" s="3">
        <v>2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f t="shared" si="90"/>
        <v>2</v>
      </c>
      <c r="BG49" s="3">
        <v>2</v>
      </c>
      <c r="BH49" s="3">
        <v>1</v>
      </c>
      <c r="BI49" s="3">
        <v>3</v>
      </c>
      <c r="BJ49" s="3">
        <v>1</v>
      </c>
      <c r="BK49" s="3">
        <f t="shared" si="91"/>
        <v>7</v>
      </c>
      <c r="BO49" s="3">
        <v>3</v>
      </c>
      <c r="BP49" s="3">
        <v>3</v>
      </c>
      <c r="BQ49" s="3">
        <f t="shared" ref="BQ49:BQ64" si="105">SUM(BO49:BP49)</f>
        <v>6</v>
      </c>
      <c r="BS49" s="3">
        <v>4</v>
      </c>
      <c r="BT49" s="3">
        <v>4</v>
      </c>
      <c r="BU49" s="3">
        <v>2</v>
      </c>
      <c r="BV49" s="3">
        <f t="shared" si="92"/>
        <v>10</v>
      </c>
      <c r="BY49" s="3">
        <v>1</v>
      </c>
      <c r="BZ49" s="3">
        <v>1</v>
      </c>
      <c r="CA49" s="3">
        <v>0</v>
      </c>
      <c r="CB49" s="3">
        <v>2</v>
      </c>
      <c r="CC49" s="3">
        <v>2</v>
      </c>
      <c r="CD49" s="3">
        <v>1</v>
      </c>
      <c r="CE49" s="3">
        <f t="shared" si="93"/>
        <v>7</v>
      </c>
    </row>
    <row r="50" spans="1:83" ht="15.75" x14ac:dyDescent="0.25">
      <c r="A50" s="11" t="s">
        <v>45</v>
      </c>
      <c r="B50" s="24">
        <f t="shared" si="94"/>
        <v>53</v>
      </c>
      <c r="C50" s="22">
        <f t="shared" si="95"/>
        <v>1</v>
      </c>
      <c r="D50" s="22">
        <f t="shared" si="96"/>
        <v>3</v>
      </c>
      <c r="E50" s="22">
        <f t="shared" si="97"/>
        <v>5</v>
      </c>
      <c r="F50" s="22">
        <f t="shared" si="98"/>
        <v>6</v>
      </c>
      <c r="G50" s="22">
        <f t="shared" si="99"/>
        <v>1</v>
      </c>
      <c r="H50" s="22">
        <f t="shared" si="100"/>
        <v>3</v>
      </c>
      <c r="I50" s="22">
        <f t="shared" si="101"/>
        <v>10</v>
      </c>
      <c r="J50" s="22">
        <f t="shared" si="102"/>
        <v>10</v>
      </c>
      <c r="K50" s="22">
        <f t="shared" si="103"/>
        <v>6</v>
      </c>
      <c r="L50" s="22">
        <f t="shared" si="104"/>
        <v>8</v>
      </c>
      <c r="M50" s="3">
        <v>0</v>
      </c>
      <c r="N50" s="3">
        <v>0</v>
      </c>
      <c r="O50" s="3">
        <v>0</v>
      </c>
      <c r="P50" s="3">
        <v>0</v>
      </c>
      <c r="Q50" s="3">
        <v>1</v>
      </c>
      <c r="R50" s="3">
        <v>0</v>
      </c>
      <c r="S50" s="3">
        <f t="shared" si="85"/>
        <v>1</v>
      </c>
      <c r="T50" s="3">
        <v>2</v>
      </c>
      <c r="U50" s="3">
        <v>1</v>
      </c>
      <c r="V50" s="3">
        <v>0</v>
      </c>
      <c r="W50" s="3">
        <v>0</v>
      </c>
      <c r="X50" s="3">
        <v>0</v>
      </c>
      <c r="Y50" s="3">
        <v>0</v>
      </c>
      <c r="Z50" s="3">
        <f t="shared" si="86"/>
        <v>3</v>
      </c>
      <c r="AA50" s="3">
        <v>0</v>
      </c>
      <c r="AB50" s="3">
        <v>1</v>
      </c>
      <c r="AC50" s="3">
        <v>0</v>
      </c>
      <c r="AD50" s="3">
        <v>2</v>
      </c>
      <c r="AE50" s="3">
        <v>1</v>
      </c>
      <c r="AF50" s="3">
        <v>1</v>
      </c>
      <c r="AG50" s="3">
        <v>0</v>
      </c>
      <c r="AH50" s="3">
        <v>0</v>
      </c>
      <c r="AI50" s="3">
        <f t="shared" si="87"/>
        <v>5</v>
      </c>
      <c r="AK50" s="12"/>
      <c r="AL50" s="3">
        <v>2</v>
      </c>
      <c r="AM50" s="3">
        <v>3</v>
      </c>
      <c r="AN50" s="3">
        <v>0</v>
      </c>
      <c r="AO50" s="3">
        <v>1</v>
      </c>
      <c r="AP50" s="3">
        <v>0</v>
      </c>
      <c r="AQ50" s="3">
        <f t="shared" si="88"/>
        <v>6</v>
      </c>
      <c r="AR50" s="3">
        <v>0</v>
      </c>
      <c r="AS50" s="3">
        <v>0</v>
      </c>
      <c r="AT50" s="3">
        <v>0</v>
      </c>
      <c r="AU50" s="3">
        <v>0</v>
      </c>
      <c r="AV50" s="3">
        <v>1</v>
      </c>
      <c r="AW50" s="3">
        <v>0</v>
      </c>
      <c r="AX50" s="3">
        <f t="shared" si="89"/>
        <v>1</v>
      </c>
      <c r="AZ50" s="3">
        <v>2</v>
      </c>
      <c r="BA50" s="3">
        <v>0</v>
      </c>
      <c r="BB50" s="3">
        <v>1</v>
      </c>
      <c r="BC50" s="3">
        <v>0</v>
      </c>
      <c r="BD50" s="3">
        <v>0</v>
      </c>
      <c r="BE50" s="3">
        <v>0</v>
      </c>
      <c r="BF50" s="3">
        <f t="shared" si="90"/>
        <v>3</v>
      </c>
      <c r="BG50" s="3">
        <v>2</v>
      </c>
      <c r="BH50" s="3">
        <v>4</v>
      </c>
      <c r="BI50" s="3">
        <v>3</v>
      </c>
      <c r="BJ50" s="3">
        <v>1</v>
      </c>
      <c r="BK50" s="3">
        <f t="shared" si="91"/>
        <v>10</v>
      </c>
      <c r="BO50" s="3">
        <v>5</v>
      </c>
      <c r="BP50" s="3">
        <v>5</v>
      </c>
      <c r="BQ50" s="3">
        <f t="shared" si="105"/>
        <v>10</v>
      </c>
      <c r="BS50" s="3">
        <v>4</v>
      </c>
      <c r="BT50" s="3">
        <v>0</v>
      </c>
      <c r="BU50" s="3">
        <v>2</v>
      </c>
      <c r="BV50" s="3">
        <f t="shared" si="92"/>
        <v>6</v>
      </c>
      <c r="BY50" s="3">
        <v>1</v>
      </c>
      <c r="BZ50" s="3">
        <v>1</v>
      </c>
      <c r="CA50" s="3">
        <v>3</v>
      </c>
      <c r="CB50" s="3">
        <v>2</v>
      </c>
      <c r="CC50" s="3">
        <v>0</v>
      </c>
      <c r="CD50" s="3">
        <v>1</v>
      </c>
      <c r="CE50" s="3">
        <f t="shared" si="93"/>
        <v>8</v>
      </c>
    </row>
    <row r="51" spans="1:83" ht="15.75" x14ac:dyDescent="0.25">
      <c r="A51" s="11" t="s">
        <v>13</v>
      </c>
      <c r="B51" s="24">
        <f t="shared" si="94"/>
        <v>55</v>
      </c>
      <c r="C51" s="22">
        <f t="shared" si="95"/>
        <v>9</v>
      </c>
      <c r="D51" s="22">
        <f t="shared" si="96"/>
        <v>3</v>
      </c>
      <c r="E51" s="22">
        <f t="shared" si="97"/>
        <v>3</v>
      </c>
      <c r="F51" s="22">
        <f t="shared" si="98"/>
        <v>9</v>
      </c>
      <c r="G51" s="22">
        <f t="shared" si="99"/>
        <v>1</v>
      </c>
      <c r="H51" s="22">
        <f t="shared" si="100"/>
        <v>2</v>
      </c>
      <c r="I51" s="22">
        <f t="shared" si="101"/>
        <v>7</v>
      </c>
      <c r="J51" s="22">
        <f t="shared" si="102"/>
        <v>7</v>
      </c>
      <c r="K51" s="22">
        <f t="shared" si="103"/>
        <v>6</v>
      </c>
      <c r="L51" s="22">
        <f t="shared" si="104"/>
        <v>8</v>
      </c>
      <c r="M51" s="3">
        <v>3</v>
      </c>
      <c r="N51" s="3">
        <v>2</v>
      </c>
      <c r="O51" s="3">
        <v>2</v>
      </c>
      <c r="P51" s="3">
        <v>1</v>
      </c>
      <c r="Q51" s="3">
        <v>0</v>
      </c>
      <c r="R51" s="3">
        <v>1</v>
      </c>
      <c r="S51" s="3">
        <f t="shared" si="85"/>
        <v>9</v>
      </c>
      <c r="T51" s="3">
        <v>2</v>
      </c>
      <c r="U51" s="3">
        <v>1</v>
      </c>
      <c r="V51" s="3">
        <v>0</v>
      </c>
      <c r="W51" s="3">
        <v>0</v>
      </c>
      <c r="X51" s="3">
        <v>0</v>
      </c>
      <c r="Y51" s="3">
        <v>0</v>
      </c>
      <c r="Z51" s="3">
        <f t="shared" si="86"/>
        <v>3</v>
      </c>
      <c r="AA51" s="3">
        <v>0</v>
      </c>
      <c r="AB51" s="3">
        <v>1</v>
      </c>
      <c r="AC51" s="3">
        <v>1</v>
      </c>
      <c r="AD51" s="3">
        <v>1</v>
      </c>
      <c r="AE51" s="3">
        <v>0</v>
      </c>
      <c r="AF51" s="3">
        <v>0</v>
      </c>
      <c r="AG51" s="3">
        <v>0</v>
      </c>
      <c r="AH51" s="3">
        <v>0</v>
      </c>
      <c r="AI51" s="3">
        <f t="shared" si="87"/>
        <v>3</v>
      </c>
      <c r="AK51" s="12"/>
      <c r="AL51" s="3">
        <v>2</v>
      </c>
      <c r="AM51" s="3">
        <v>3</v>
      </c>
      <c r="AN51" s="3">
        <v>3</v>
      </c>
      <c r="AO51" s="3">
        <v>0</v>
      </c>
      <c r="AP51" s="3">
        <v>1</v>
      </c>
      <c r="AQ51" s="3">
        <f t="shared" si="88"/>
        <v>9</v>
      </c>
      <c r="AR51" s="3">
        <v>0</v>
      </c>
      <c r="AS51" s="3">
        <v>0</v>
      </c>
      <c r="AT51" s="3">
        <v>0</v>
      </c>
      <c r="AU51" s="3">
        <v>0</v>
      </c>
      <c r="AV51" s="3">
        <v>1</v>
      </c>
      <c r="AW51" s="3">
        <v>0</v>
      </c>
      <c r="AX51" s="3">
        <f t="shared" si="89"/>
        <v>1</v>
      </c>
      <c r="AZ51" s="3">
        <v>2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f t="shared" si="90"/>
        <v>2</v>
      </c>
      <c r="BG51" s="3">
        <v>2</v>
      </c>
      <c r="BH51" s="3">
        <v>4</v>
      </c>
      <c r="BI51" s="3">
        <v>0</v>
      </c>
      <c r="BJ51" s="3">
        <v>1</v>
      </c>
      <c r="BK51" s="3">
        <f t="shared" si="91"/>
        <v>7</v>
      </c>
      <c r="BO51" s="3">
        <v>2</v>
      </c>
      <c r="BP51" s="3">
        <v>5</v>
      </c>
      <c r="BQ51" s="3">
        <f t="shared" si="105"/>
        <v>7</v>
      </c>
      <c r="BS51" s="3">
        <v>4</v>
      </c>
      <c r="BT51" s="3">
        <v>0</v>
      </c>
      <c r="BU51" s="3">
        <v>2</v>
      </c>
      <c r="BV51" s="3">
        <f t="shared" si="92"/>
        <v>6</v>
      </c>
      <c r="BY51" s="3">
        <v>1</v>
      </c>
      <c r="BZ51" s="3">
        <v>1</v>
      </c>
      <c r="CA51" s="3">
        <v>1</v>
      </c>
      <c r="CB51" s="3">
        <v>2</v>
      </c>
      <c r="CC51" s="3">
        <v>2</v>
      </c>
      <c r="CD51" s="3">
        <v>1</v>
      </c>
      <c r="CE51" s="3">
        <f t="shared" si="93"/>
        <v>8</v>
      </c>
    </row>
    <row r="52" spans="1:83" ht="15.75" x14ac:dyDescent="0.25">
      <c r="A52" s="11" t="s">
        <v>33</v>
      </c>
      <c r="B52" s="24">
        <f t="shared" si="94"/>
        <v>43</v>
      </c>
      <c r="C52" s="22">
        <f t="shared" si="95"/>
        <v>1</v>
      </c>
      <c r="D52" s="22">
        <f t="shared" si="96"/>
        <v>3</v>
      </c>
      <c r="E52" s="22">
        <f t="shared" si="97"/>
        <v>5</v>
      </c>
      <c r="F52" s="22">
        <f t="shared" si="98"/>
        <v>3</v>
      </c>
      <c r="G52" s="22">
        <f t="shared" si="99"/>
        <v>1</v>
      </c>
      <c r="H52" s="22">
        <f t="shared" si="100"/>
        <v>3</v>
      </c>
      <c r="I52" s="22">
        <f t="shared" si="101"/>
        <v>7</v>
      </c>
      <c r="J52" s="22">
        <f t="shared" si="102"/>
        <v>8</v>
      </c>
      <c r="K52" s="22">
        <f t="shared" si="103"/>
        <v>6</v>
      </c>
      <c r="L52" s="22">
        <f t="shared" si="104"/>
        <v>6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1</v>
      </c>
      <c r="S52" s="3">
        <f t="shared" si="85"/>
        <v>1</v>
      </c>
      <c r="T52" s="3">
        <v>2</v>
      </c>
      <c r="U52" s="3">
        <v>1</v>
      </c>
      <c r="V52" s="3">
        <v>0</v>
      </c>
      <c r="W52" s="3">
        <v>0</v>
      </c>
      <c r="X52" s="3">
        <v>0</v>
      </c>
      <c r="Y52" s="3">
        <v>0</v>
      </c>
      <c r="Z52" s="3">
        <f t="shared" si="86"/>
        <v>3</v>
      </c>
      <c r="AA52" s="3">
        <v>1</v>
      </c>
      <c r="AB52" s="3">
        <v>1</v>
      </c>
      <c r="AC52" s="3">
        <v>1</v>
      </c>
      <c r="AD52" s="3">
        <v>1</v>
      </c>
      <c r="AE52" s="3">
        <v>1</v>
      </c>
      <c r="AF52" s="3">
        <v>0</v>
      </c>
      <c r="AG52" s="3">
        <v>0</v>
      </c>
      <c r="AH52" s="3">
        <v>0</v>
      </c>
      <c r="AI52" s="3">
        <f t="shared" si="87"/>
        <v>5</v>
      </c>
      <c r="AK52" s="12"/>
      <c r="AL52" s="3">
        <v>2</v>
      </c>
      <c r="AM52" s="3">
        <v>1</v>
      </c>
      <c r="AN52" s="3">
        <v>0</v>
      </c>
      <c r="AO52" s="3">
        <v>0</v>
      </c>
      <c r="AP52" s="3">
        <v>0</v>
      </c>
      <c r="AQ52" s="3">
        <f t="shared" si="88"/>
        <v>3</v>
      </c>
      <c r="AR52" s="3">
        <v>0</v>
      </c>
      <c r="AS52" s="3">
        <v>0</v>
      </c>
      <c r="AT52" s="3">
        <v>0</v>
      </c>
      <c r="AU52" s="3">
        <v>0</v>
      </c>
      <c r="AV52" s="3">
        <v>1</v>
      </c>
      <c r="AW52" s="3">
        <v>0</v>
      </c>
      <c r="AX52" s="3">
        <f t="shared" si="89"/>
        <v>1</v>
      </c>
      <c r="AZ52" s="3">
        <v>2</v>
      </c>
      <c r="BA52" s="3">
        <v>0</v>
      </c>
      <c r="BB52" s="3">
        <v>1</v>
      </c>
      <c r="BC52" s="3">
        <v>0</v>
      </c>
      <c r="BD52" s="3">
        <v>0</v>
      </c>
      <c r="BE52" s="3">
        <v>0</v>
      </c>
      <c r="BF52" s="3">
        <f t="shared" si="90"/>
        <v>3</v>
      </c>
      <c r="BG52" s="3">
        <v>2</v>
      </c>
      <c r="BH52" s="3">
        <v>4</v>
      </c>
      <c r="BI52" s="3">
        <v>0</v>
      </c>
      <c r="BJ52" s="3">
        <v>1</v>
      </c>
      <c r="BK52" s="3">
        <f t="shared" si="91"/>
        <v>7</v>
      </c>
      <c r="BO52" s="3">
        <v>5</v>
      </c>
      <c r="BP52" s="3">
        <v>3</v>
      </c>
      <c r="BQ52" s="3">
        <f t="shared" si="105"/>
        <v>8</v>
      </c>
      <c r="BS52" s="3">
        <v>4</v>
      </c>
      <c r="BT52" s="3">
        <v>0</v>
      </c>
      <c r="BU52" s="3">
        <v>2</v>
      </c>
      <c r="BV52" s="3">
        <f t="shared" si="92"/>
        <v>6</v>
      </c>
      <c r="BY52" s="3">
        <v>1</v>
      </c>
      <c r="BZ52" s="3">
        <v>1</v>
      </c>
      <c r="CA52" s="3">
        <v>1</v>
      </c>
      <c r="CB52" s="3">
        <v>2</v>
      </c>
      <c r="CC52" s="3">
        <v>0</v>
      </c>
      <c r="CD52" s="3">
        <v>1</v>
      </c>
      <c r="CE52" s="3">
        <f t="shared" si="93"/>
        <v>6</v>
      </c>
    </row>
    <row r="53" spans="1:83" ht="15.75" x14ac:dyDescent="0.25">
      <c r="A53" s="11" t="s">
        <v>11</v>
      </c>
      <c r="B53" s="24">
        <f t="shared" si="94"/>
        <v>40</v>
      </c>
      <c r="C53" s="22">
        <f t="shared" si="95"/>
        <v>0</v>
      </c>
      <c r="D53" s="22">
        <f t="shared" si="96"/>
        <v>3</v>
      </c>
      <c r="E53" s="22">
        <f t="shared" si="97"/>
        <v>3</v>
      </c>
      <c r="F53" s="22">
        <f t="shared" si="98"/>
        <v>5</v>
      </c>
      <c r="G53" s="22">
        <f t="shared" si="99"/>
        <v>4</v>
      </c>
      <c r="H53" s="22">
        <f t="shared" si="100"/>
        <v>3</v>
      </c>
      <c r="I53" s="22">
        <f t="shared" si="101"/>
        <v>4</v>
      </c>
      <c r="J53" s="22">
        <f t="shared" si="102"/>
        <v>6</v>
      </c>
      <c r="K53" s="22">
        <f t="shared" si="103"/>
        <v>10</v>
      </c>
      <c r="L53" s="22">
        <f t="shared" si="104"/>
        <v>2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f t="shared" si="85"/>
        <v>0</v>
      </c>
      <c r="T53" s="3">
        <v>2</v>
      </c>
      <c r="U53" s="3">
        <v>1</v>
      </c>
      <c r="V53" s="3">
        <v>0</v>
      </c>
      <c r="W53" s="3">
        <v>0</v>
      </c>
      <c r="X53" s="3">
        <v>0</v>
      </c>
      <c r="Y53" s="3">
        <v>0</v>
      </c>
      <c r="Z53" s="3">
        <f t="shared" si="86"/>
        <v>3</v>
      </c>
      <c r="AA53" s="3">
        <v>1</v>
      </c>
      <c r="AB53" s="3">
        <v>1</v>
      </c>
      <c r="AC53" s="3">
        <v>0</v>
      </c>
      <c r="AD53" s="3">
        <v>1</v>
      </c>
      <c r="AE53" s="3">
        <v>0</v>
      </c>
      <c r="AF53" s="3">
        <v>0</v>
      </c>
      <c r="AG53" s="3">
        <v>0</v>
      </c>
      <c r="AH53" s="3">
        <v>0</v>
      </c>
      <c r="AI53" s="3">
        <f t="shared" si="87"/>
        <v>3</v>
      </c>
      <c r="AK53" s="12"/>
      <c r="AL53" s="3">
        <v>2</v>
      </c>
      <c r="AM53" s="3">
        <v>3</v>
      </c>
      <c r="AN53" s="3">
        <v>0</v>
      </c>
      <c r="AO53" s="3">
        <v>0</v>
      </c>
      <c r="AP53" s="3">
        <v>0</v>
      </c>
      <c r="AQ53" s="3">
        <f t="shared" si="88"/>
        <v>5</v>
      </c>
      <c r="AR53" s="3">
        <v>0</v>
      </c>
      <c r="AS53" s="3">
        <v>1</v>
      </c>
      <c r="AT53" s="3">
        <v>2</v>
      </c>
      <c r="AU53" s="3">
        <v>0</v>
      </c>
      <c r="AV53" s="3">
        <v>1</v>
      </c>
      <c r="AW53" s="3">
        <v>0</v>
      </c>
      <c r="AX53" s="3">
        <f t="shared" si="89"/>
        <v>4</v>
      </c>
      <c r="AZ53" s="3">
        <v>2</v>
      </c>
      <c r="BA53" s="3">
        <v>0</v>
      </c>
      <c r="BB53" s="3">
        <v>1</v>
      </c>
      <c r="BC53" s="3">
        <v>0</v>
      </c>
      <c r="BD53" s="3">
        <v>0</v>
      </c>
      <c r="BE53" s="3">
        <v>0</v>
      </c>
      <c r="BF53" s="3">
        <f t="shared" si="90"/>
        <v>3</v>
      </c>
      <c r="BG53" s="3">
        <v>2</v>
      </c>
      <c r="BH53" s="3">
        <v>1</v>
      </c>
      <c r="BI53" s="3">
        <v>0</v>
      </c>
      <c r="BJ53" s="3">
        <v>1</v>
      </c>
      <c r="BK53" s="3">
        <f t="shared" si="91"/>
        <v>4</v>
      </c>
      <c r="BO53" s="3">
        <v>3</v>
      </c>
      <c r="BP53" s="3">
        <v>3</v>
      </c>
      <c r="BQ53" s="3">
        <f t="shared" si="105"/>
        <v>6</v>
      </c>
      <c r="BS53" s="3">
        <v>4</v>
      </c>
      <c r="BT53" s="3">
        <v>4</v>
      </c>
      <c r="BU53" s="3">
        <v>2</v>
      </c>
      <c r="BV53" s="3">
        <f t="shared" si="92"/>
        <v>10</v>
      </c>
      <c r="BY53" s="3">
        <v>1</v>
      </c>
      <c r="BZ53" s="3">
        <v>1</v>
      </c>
      <c r="CA53" s="3">
        <v>0</v>
      </c>
      <c r="CB53" s="3">
        <v>0</v>
      </c>
      <c r="CC53" s="3">
        <v>0</v>
      </c>
      <c r="CD53" s="3">
        <v>0</v>
      </c>
      <c r="CE53" s="3">
        <f t="shared" si="93"/>
        <v>2</v>
      </c>
    </row>
    <row r="54" spans="1:83" ht="15.75" x14ac:dyDescent="0.25">
      <c r="A54" s="11" t="s">
        <v>41</v>
      </c>
      <c r="B54" s="24">
        <f t="shared" si="94"/>
        <v>68</v>
      </c>
      <c r="C54" s="22">
        <f t="shared" si="95"/>
        <v>10</v>
      </c>
      <c r="D54" s="22">
        <f t="shared" si="96"/>
        <v>10</v>
      </c>
      <c r="E54" s="22">
        <f t="shared" si="97"/>
        <v>2</v>
      </c>
      <c r="F54" s="22">
        <f t="shared" si="98"/>
        <v>8</v>
      </c>
      <c r="G54" s="22">
        <f t="shared" si="99"/>
        <v>1</v>
      </c>
      <c r="H54" s="22">
        <f t="shared" si="100"/>
        <v>3</v>
      </c>
      <c r="I54" s="22">
        <f t="shared" si="101"/>
        <v>7</v>
      </c>
      <c r="J54" s="22">
        <f t="shared" si="102"/>
        <v>10</v>
      </c>
      <c r="K54" s="22">
        <f t="shared" si="103"/>
        <v>10</v>
      </c>
      <c r="L54" s="22">
        <f t="shared" si="104"/>
        <v>7</v>
      </c>
      <c r="M54" s="3">
        <v>3</v>
      </c>
      <c r="N54" s="3">
        <v>2</v>
      </c>
      <c r="O54" s="3">
        <v>2</v>
      </c>
      <c r="P54" s="3">
        <v>1</v>
      </c>
      <c r="Q54" s="3">
        <v>1</v>
      </c>
      <c r="R54" s="3">
        <v>1</v>
      </c>
      <c r="S54" s="3">
        <f t="shared" si="85"/>
        <v>10</v>
      </c>
      <c r="T54" s="3">
        <v>2</v>
      </c>
      <c r="U54" s="3">
        <v>1</v>
      </c>
      <c r="V54" s="3">
        <v>2</v>
      </c>
      <c r="W54" s="3">
        <v>2</v>
      </c>
      <c r="X54" s="3">
        <v>2</v>
      </c>
      <c r="Y54" s="3">
        <v>1</v>
      </c>
      <c r="Z54" s="3">
        <f t="shared" si="86"/>
        <v>10</v>
      </c>
      <c r="AA54" s="3">
        <v>0</v>
      </c>
      <c r="AB54" s="3">
        <v>1</v>
      </c>
      <c r="AC54" s="3">
        <v>1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f t="shared" si="87"/>
        <v>2</v>
      </c>
      <c r="AK54" s="12"/>
      <c r="AL54" s="3">
        <v>2</v>
      </c>
      <c r="AM54" s="3">
        <v>3</v>
      </c>
      <c r="AN54" s="3">
        <v>3</v>
      </c>
      <c r="AO54" s="3">
        <v>0</v>
      </c>
      <c r="AP54" s="3">
        <v>0</v>
      </c>
      <c r="AQ54" s="3">
        <f t="shared" si="88"/>
        <v>8</v>
      </c>
      <c r="AR54" s="3">
        <v>0</v>
      </c>
      <c r="AS54" s="3">
        <v>1</v>
      </c>
      <c r="AT54" s="3">
        <v>0</v>
      </c>
      <c r="AU54" s="3">
        <v>0</v>
      </c>
      <c r="AV54" s="3">
        <v>0</v>
      </c>
      <c r="AW54" s="3">
        <v>0</v>
      </c>
      <c r="AX54" s="3">
        <f t="shared" si="89"/>
        <v>1</v>
      </c>
      <c r="AZ54" s="3">
        <v>2</v>
      </c>
      <c r="BA54" s="3">
        <v>0</v>
      </c>
      <c r="BB54" s="3">
        <v>1</v>
      </c>
      <c r="BC54" s="3">
        <v>0</v>
      </c>
      <c r="BD54" s="3">
        <v>0</v>
      </c>
      <c r="BE54" s="3">
        <v>0</v>
      </c>
      <c r="BF54" s="3">
        <f t="shared" si="90"/>
        <v>3</v>
      </c>
      <c r="BG54" s="3">
        <v>2</v>
      </c>
      <c r="BH54" s="3">
        <v>4</v>
      </c>
      <c r="BI54" s="3">
        <v>0</v>
      </c>
      <c r="BJ54" s="3">
        <v>1</v>
      </c>
      <c r="BK54" s="3">
        <f t="shared" si="91"/>
        <v>7</v>
      </c>
      <c r="BO54" s="3">
        <v>5</v>
      </c>
      <c r="BP54" s="3">
        <v>5</v>
      </c>
      <c r="BQ54" s="3">
        <f t="shared" si="105"/>
        <v>10</v>
      </c>
      <c r="BS54" s="3">
        <v>4</v>
      </c>
      <c r="BT54" s="3">
        <v>4</v>
      </c>
      <c r="BU54" s="3">
        <v>2</v>
      </c>
      <c r="BV54" s="3">
        <f t="shared" si="92"/>
        <v>10</v>
      </c>
      <c r="BY54" s="3">
        <v>1</v>
      </c>
      <c r="BZ54" s="3">
        <v>1</v>
      </c>
      <c r="CA54" s="3">
        <v>1</v>
      </c>
      <c r="CB54" s="3">
        <v>1</v>
      </c>
      <c r="CC54" s="3">
        <v>2</v>
      </c>
      <c r="CD54" s="3">
        <v>1</v>
      </c>
      <c r="CE54" s="3">
        <f t="shared" si="93"/>
        <v>7</v>
      </c>
    </row>
    <row r="55" spans="1:83" ht="15.75" x14ac:dyDescent="0.25">
      <c r="A55" s="11" t="s">
        <v>15</v>
      </c>
      <c r="B55" s="24">
        <f t="shared" si="94"/>
        <v>57</v>
      </c>
      <c r="C55" s="22">
        <f t="shared" si="95"/>
        <v>2</v>
      </c>
      <c r="D55" s="22">
        <f t="shared" si="96"/>
        <v>3</v>
      </c>
      <c r="E55" s="22">
        <f t="shared" si="97"/>
        <v>9</v>
      </c>
      <c r="F55" s="22">
        <f t="shared" si="98"/>
        <v>6</v>
      </c>
      <c r="G55" s="22">
        <f t="shared" si="99"/>
        <v>6</v>
      </c>
      <c r="H55" s="22">
        <f t="shared" si="100"/>
        <v>3</v>
      </c>
      <c r="I55" s="22">
        <f t="shared" si="101"/>
        <v>7</v>
      </c>
      <c r="J55" s="22">
        <f t="shared" si="102"/>
        <v>8</v>
      </c>
      <c r="K55" s="22">
        <f t="shared" si="103"/>
        <v>6</v>
      </c>
      <c r="L55" s="22">
        <f t="shared" si="104"/>
        <v>7</v>
      </c>
      <c r="M55" s="3">
        <v>0</v>
      </c>
      <c r="N55" s="3">
        <v>0</v>
      </c>
      <c r="O55" s="3">
        <v>0</v>
      </c>
      <c r="P55" s="3">
        <v>0</v>
      </c>
      <c r="Q55" s="3">
        <v>1</v>
      </c>
      <c r="R55" s="3">
        <v>1</v>
      </c>
      <c r="S55" s="3">
        <f t="shared" si="85"/>
        <v>2</v>
      </c>
      <c r="T55" s="3">
        <v>2</v>
      </c>
      <c r="U55" s="3">
        <v>1</v>
      </c>
      <c r="V55" s="3">
        <v>0</v>
      </c>
      <c r="W55" s="3">
        <v>0</v>
      </c>
      <c r="X55" s="3">
        <v>0</v>
      </c>
      <c r="Y55" s="3">
        <v>0</v>
      </c>
      <c r="Z55" s="3">
        <f t="shared" si="86"/>
        <v>3</v>
      </c>
      <c r="AA55" s="3">
        <v>0</v>
      </c>
      <c r="AB55" s="3">
        <v>1</v>
      </c>
      <c r="AC55" s="3">
        <v>1</v>
      </c>
      <c r="AD55" s="3">
        <v>2</v>
      </c>
      <c r="AE55" s="3">
        <v>2</v>
      </c>
      <c r="AF55" s="3">
        <v>1</v>
      </c>
      <c r="AG55" s="3">
        <v>1</v>
      </c>
      <c r="AH55" s="3">
        <v>1</v>
      </c>
      <c r="AI55" s="3">
        <f t="shared" si="87"/>
        <v>9</v>
      </c>
      <c r="AK55" s="12"/>
      <c r="AL55" s="3">
        <v>2</v>
      </c>
      <c r="AM55" s="3">
        <v>3</v>
      </c>
      <c r="AN55" s="3">
        <v>0</v>
      </c>
      <c r="AO55" s="3">
        <v>0</v>
      </c>
      <c r="AP55" s="3">
        <v>1</v>
      </c>
      <c r="AQ55" s="3">
        <f t="shared" si="88"/>
        <v>6</v>
      </c>
      <c r="AR55" s="3">
        <v>0</v>
      </c>
      <c r="AS55" s="3">
        <v>1</v>
      </c>
      <c r="AT55" s="3">
        <v>2</v>
      </c>
      <c r="AU55" s="3">
        <v>3</v>
      </c>
      <c r="AV55" s="3">
        <v>0</v>
      </c>
      <c r="AW55" s="3">
        <v>0</v>
      </c>
      <c r="AX55" s="3">
        <f t="shared" si="89"/>
        <v>6</v>
      </c>
      <c r="AZ55" s="3">
        <v>2</v>
      </c>
      <c r="BA55" s="3">
        <v>0</v>
      </c>
      <c r="BB55" s="3">
        <v>1</v>
      </c>
      <c r="BC55" s="3">
        <v>0</v>
      </c>
      <c r="BD55" s="3">
        <v>0</v>
      </c>
      <c r="BE55" s="3">
        <v>0</v>
      </c>
      <c r="BF55" s="3">
        <f t="shared" si="90"/>
        <v>3</v>
      </c>
      <c r="BG55" s="3">
        <v>2</v>
      </c>
      <c r="BH55" s="3">
        <v>4</v>
      </c>
      <c r="BI55" s="3">
        <v>0</v>
      </c>
      <c r="BJ55" s="3">
        <v>1</v>
      </c>
      <c r="BK55" s="3">
        <f t="shared" si="91"/>
        <v>7</v>
      </c>
      <c r="BO55" s="3">
        <v>5</v>
      </c>
      <c r="BP55" s="3">
        <v>3</v>
      </c>
      <c r="BQ55" s="3">
        <f t="shared" si="105"/>
        <v>8</v>
      </c>
      <c r="BS55" s="3">
        <v>4</v>
      </c>
      <c r="BT55" s="3">
        <v>0</v>
      </c>
      <c r="BU55" s="3">
        <v>2</v>
      </c>
      <c r="BV55" s="3">
        <f t="shared" si="92"/>
        <v>6</v>
      </c>
      <c r="BY55" s="3">
        <v>1</v>
      </c>
      <c r="BZ55" s="3">
        <v>1</v>
      </c>
      <c r="CA55" s="3">
        <v>2</v>
      </c>
      <c r="CB55" s="3">
        <v>2</v>
      </c>
      <c r="CC55" s="3">
        <v>0</v>
      </c>
      <c r="CD55" s="3">
        <v>1</v>
      </c>
      <c r="CE55" s="3">
        <f t="shared" si="93"/>
        <v>7</v>
      </c>
    </row>
    <row r="56" spans="1:83" ht="15.75" x14ac:dyDescent="0.25">
      <c r="A56" s="11" t="s">
        <v>47</v>
      </c>
      <c r="B56" s="24">
        <f t="shared" si="94"/>
        <v>55</v>
      </c>
      <c r="C56" s="22">
        <f t="shared" si="95"/>
        <v>0</v>
      </c>
      <c r="D56" s="22">
        <f t="shared" si="96"/>
        <v>5</v>
      </c>
      <c r="E56" s="22">
        <f t="shared" si="97"/>
        <v>9</v>
      </c>
      <c r="F56" s="22">
        <f t="shared" si="98"/>
        <v>8</v>
      </c>
      <c r="G56" s="22">
        <f t="shared" si="99"/>
        <v>3</v>
      </c>
      <c r="H56" s="22">
        <f t="shared" si="100"/>
        <v>3</v>
      </c>
      <c r="I56" s="22">
        <f t="shared" si="101"/>
        <v>9</v>
      </c>
      <c r="J56" s="22">
        <f t="shared" si="102"/>
        <v>8</v>
      </c>
      <c r="K56" s="22">
        <f t="shared" si="103"/>
        <v>6</v>
      </c>
      <c r="L56" s="22">
        <f t="shared" si="104"/>
        <v>4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f t="shared" si="85"/>
        <v>0</v>
      </c>
      <c r="T56" s="3">
        <v>2</v>
      </c>
      <c r="U56" s="3">
        <v>1</v>
      </c>
      <c r="V56" s="3">
        <v>2</v>
      </c>
      <c r="W56" s="3">
        <v>0</v>
      </c>
      <c r="X56" s="3">
        <v>0</v>
      </c>
      <c r="Y56" s="3">
        <v>0</v>
      </c>
      <c r="Z56" s="3">
        <f t="shared" si="86"/>
        <v>5</v>
      </c>
      <c r="AA56" s="3">
        <v>1</v>
      </c>
      <c r="AB56" s="3">
        <v>1</v>
      </c>
      <c r="AC56" s="3">
        <v>1</v>
      </c>
      <c r="AD56" s="3">
        <v>2</v>
      </c>
      <c r="AE56" s="3">
        <v>2</v>
      </c>
      <c r="AF56" s="3">
        <v>1</v>
      </c>
      <c r="AG56" s="3">
        <v>0</v>
      </c>
      <c r="AH56" s="3">
        <v>1</v>
      </c>
      <c r="AI56" s="3">
        <f t="shared" si="87"/>
        <v>9</v>
      </c>
      <c r="AK56" s="12"/>
      <c r="AL56" s="3">
        <v>2</v>
      </c>
      <c r="AM56" s="3">
        <v>3</v>
      </c>
      <c r="AN56" s="3">
        <v>3</v>
      </c>
      <c r="AO56" s="3">
        <v>0</v>
      </c>
      <c r="AP56" s="3">
        <v>0</v>
      </c>
      <c r="AQ56" s="3">
        <f t="shared" si="88"/>
        <v>8</v>
      </c>
      <c r="AR56" s="3">
        <v>2</v>
      </c>
      <c r="AS56" s="3">
        <v>0</v>
      </c>
      <c r="AT56" s="3">
        <v>0</v>
      </c>
      <c r="AU56" s="3">
        <v>1</v>
      </c>
      <c r="AV56" s="3">
        <v>0</v>
      </c>
      <c r="AW56" s="3">
        <v>0</v>
      </c>
      <c r="AX56" s="3">
        <f t="shared" si="89"/>
        <v>3</v>
      </c>
      <c r="AZ56" s="3">
        <v>2</v>
      </c>
      <c r="BA56" s="3">
        <v>0</v>
      </c>
      <c r="BB56" s="3">
        <v>1</v>
      </c>
      <c r="BC56" s="3">
        <v>0</v>
      </c>
      <c r="BD56" s="3">
        <v>0</v>
      </c>
      <c r="BE56" s="3">
        <v>0</v>
      </c>
      <c r="BF56" s="3">
        <f t="shared" si="90"/>
        <v>3</v>
      </c>
      <c r="BG56" s="3">
        <v>2</v>
      </c>
      <c r="BH56" s="3">
        <v>3</v>
      </c>
      <c r="BI56" s="3">
        <v>3</v>
      </c>
      <c r="BJ56" s="3">
        <v>1</v>
      </c>
      <c r="BK56" s="3">
        <f t="shared" si="91"/>
        <v>9</v>
      </c>
      <c r="BO56" s="3">
        <v>5</v>
      </c>
      <c r="BP56" s="3">
        <v>3</v>
      </c>
      <c r="BQ56" s="3">
        <f t="shared" si="105"/>
        <v>8</v>
      </c>
      <c r="BS56" s="3">
        <v>4</v>
      </c>
      <c r="BT56" s="3">
        <v>0</v>
      </c>
      <c r="BU56" s="3">
        <v>2</v>
      </c>
      <c r="BV56" s="3">
        <f t="shared" si="92"/>
        <v>6</v>
      </c>
      <c r="BY56" s="3">
        <v>1</v>
      </c>
      <c r="BZ56" s="3">
        <v>1</v>
      </c>
      <c r="CA56" s="3">
        <v>1</v>
      </c>
      <c r="CB56" s="3">
        <v>0</v>
      </c>
      <c r="CC56" s="3">
        <v>0</v>
      </c>
      <c r="CD56" s="3">
        <v>1</v>
      </c>
      <c r="CE56" s="3">
        <f t="shared" si="93"/>
        <v>4</v>
      </c>
    </row>
    <row r="57" spans="1:83" ht="15.75" x14ac:dyDescent="0.25">
      <c r="A57" s="11" t="s">
        <v>32</v>
      </c>
      <c r="B57" s="24">
        <f t="shared" si="94"/>
        <v>43</v>
      </c>
      <c r="C57" s="22">
        <f t="shared" si="95"/>
        <v>1</v>
      </c>
      <c r="D57" s="22">
        <f t="shared" si="96"/>
        <v>3</v>
      </c>
      <c r="E57" s="22">
        <f t="shared" si="97"/>
        <v>5</v>
      </c>
      <c r="F57" s="22">
        <f t="shared" si="98"/>
        <v>8</v>
      </c>
      <c r="G57" s="22">
        <f t="shared" si="99"/>
        <v>1</v>
      </c>
      <c r="H57" s="22">
        <f t="shared" si="100"/>
        <v>3</v>
      </c>
      <c r="I57" s="22">
        <f t="shared" si="101"/>
        <v>8</v>
      </c>
      <c r="J57" s="22">
        <f t="shared" si="102"/>
        <v>6</v>
      </c>
      <c r="K57" s="22">
        <f t="shared" si="103"/>
        <v>6</v>
      </c>
      <c r="L57" s="22">
        <f t="shared" si="104"/>
        <v>2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1</v>
      </c>
      <c r="S57" s="3">
        <f t="shared" si="85"/>
        <v>1</v>
      </c>
      <c r="T57" s="3">
        <v>2</v>
      </c>
      <c r="U57" s="3">
        <v>1</v>
      </c>
      <c r="V57" s="3">
        <v>0</v>
      </c>
      <c r="W57" s="3">
        <v>0</v>
      </c>
      <c r="X57" s="3">
        <v>0</v>
      </c>
      <c r="Y57" s="3">
        <v>0</v>
      </c>
      <c r="Z57" s="3">
        <f t="shared" si="86"/>
        <v>3</v>
      </c>
      <c r="AA57" s="3">
        <v>1</v>
      </c>
      <c r="AB57" s="3">
        <v>1</v>
      </c>
      <c r="AC57" s="3">
        <v>0</v>
      </c>
      <c r="AD57" s="3">
        <v>1</v>
      </c>
      <c r="AE57" s="3">
        <v>2</v>
      </c>
      <c r="AF57" s="3">
        <v>0</v>
      </c>
      <c r="AG57" s="3">
        <v>0</v>
      </c>
      <c r="AH57" s="3">
        <v>0</v>
      </c>
      <c r="AI57" s="3">
        <f t="shared" si="87"/>
        <v>5</v>
      </c>
      <c r="AK57" s="12"/>
      <c r="AL57" s="3">
        <v>2</v>
      </c>
      <c r="AM57" s="3">
        <v>3</v>
      </c>
      <c r="AN57" s="3">
        <v>3</v>
      </c>
      <c r="AO57" s="3">
        <v>0</v>
      </c>
      <c r="AP57" s="3">
        <v>0</v>
      </c>
      <c r="AQ57" s="3">
        <f t="shared" si="88"/>
        <v>8</v>
      </c>
      <c r="AR57" s="3">
        <v>0</v>
      </c>
      <c r="AS57" s="3">
        <v>1</v>
      </c>
      <c r="AT57" s="3">
        <v>0</v>
      </c>
      <c r="AU57" s="3">
        <v>0</v>
      </c>
      <c r="AV57" s="3">
        <v>0</v>
      </c>
      <c r="AW57" s="3">
        <v>0</v>
      </c>
      <c r="AX57" s="3">
        <f t="shared" si="89"/>
        <v>1</v>
      </c>
      <c r="AZ57" s="3">
        <v>2</v>
      </c>
      <c r="BA57" s="3">
        <v>0</v>
      </c>
      <c r="BB57" s="3">
        <v>1</v>
      </c>
      <c r="BC57" s="3">
        <v>0</v>
      </c>
      <c r="BD57" s="3">
        <v>0</v>
      </c>
      <c r="BE57" s="3">
        <v>0</v>
      </c>
      <c r="BF57" s="3">
        <f t="shared" si="90"/>
        <v>3</v>
      </c>
      <c r="BG57" s="3">
        <v>2</v>
      </c>
      <c r="BH57" s="3">
        <v>2</v>
      </c>
      <c r="BI57" s="3">
        <v>3</v>
      </c>
      <c r="BJ57" s="3">
        <v>1</v>
      </c>
      <c r="BK57" s="3">
        <f t="shared" si="91"/>
        <v>8</v>
      </c>
      <c r="BO57" s="3">
        <v>3</v>
      </c>
      <c r="BP57" s="3">
        <v>3</v>
      </c>
      <c r="BQ57" s="3">
        <f t="shared" si="105"/>
        <v>6</v>
      </c>
      <c r="BS57" s="3">
        <v>0</v>
      </c>
      <c r="BT57" s="3">
        <v>4</v>
      </c>
      <c r="BU57" s="3">
        <v>2</v>
      </c>
      <c r="BV57" s="3">
        <f t="shared" si="92"/>
        <v>6</v>
      </c>
      <c r="BY57" s="3">
        <v>1</v>
      </c>
      <c r="BZ57" s="3">
        <v>1</v>
      </c>
      <c r="CA57" s="3">
        <v>0</v>
      </c>
      <c r="CB57" s="3">
        <v>0</v>
      </c>
      <c r="CC57" s="3">
        <v>0</v>
      </c>
      <c r="CD57" s="3">
        <v>0</v>
      </c>
      <c r="CE57" s="3">
        <f t="shared" si="93"/>
        <v>2</v>
      </c>
    </row>
    <row r="58" spans="1:83" ht="15.75" x14ac:dyDescent="0.25">
      <c r="A58" s="11" t="s">
        <v>28</v>
      </c>
      <c r="B58" s="24">
        <f t="shared" si="94"/>
        <v>81</v>
      </c>
      <c r="C58" s="22">
        <f t="shared" si="95"/>
        <v>4</v>
      </c>
      <c r="D58" s="22">
        <f t="shared" si="96"/>
        <v>3</v>
      </c>
      <c r="E58" s="22">
        <f t="shared" si="97"/>
        <v>10</v>
      </c>
      <c r="F58" s="22">
        <f t="shared" si="98"/>
        <v>10</v>
      </c>
      <c r="G58" s="22">
        <f t="shared" si="99"/>
        <v>10</v>
      </c>
      <c r="H58" s="22">
        <f t="shared" si="100"/>
        <v>6</v>
      </c>
      <c r="I58" s="22">
        <f t="shared" si="101"/>
        <v>10</v>
      </c>
      <c r="J58" s="22">
        <f t="shared" si="102"/>
        <v>8</v>
      </c>
      <c r="K58" s="22">
        <f t="shared" si="103"/>
        <v>10</v>
      </c>
      <c r="L58" s="22">
        <f t="shared" si="104"/>
        <v>10</v>
      </c>
      <c r="M58" s="3">
        <v>1</v>
      </c>
      <c r="N58" s="3">
        <v>2</v>
      </c>
      <c r="O58" s="3">
        <v>0</v>
      </c>
      <c r="P58" s="3">
        <v>0</v>
      </c>
      <c r="Q58" s="3">
        <v>0</v>
      </c>
      <c r="R58" s="3">
        <v>1</v>
      </c>
      <c r="S58" s="3">
        <f>SUM(M58:R58)</f>
        <v>4</v>
      </c>
      <c r="T58" s="3">
        <v>2</v>
      </c>
      <c r="U58" s="3">
        <v>1</v>
      </c>
      <c r="V58" s="3">
        <v>0</v>
      </c>
      <c r="W58" s="3">
        <v>0</v>
      </c>
      <c r="X58" s="3">
        <v>0</v>
      </c>
      <c r="Y58" s="3">
        <v>0</v>
      </c>
      <c r="Z58" s="3">
        <f t="shared" si="86"/>
        <v>3</v>
      </c>
      <c r="AA58" s="3">
        <v>1</v>
      </c>
      <c r="AB58" s="3">
        <v>1</v>
      </c>
      <c r="AC58" s="3">
        <v>1</v>
      </c>
      <c r="AD58" s="3">
        <v>2</v>
      </c>
      <c r="AE58" s="3">
        <v>2</v>
      </c>
      <c r="AF58" s="3">
        <v>1</v>
      </c>
      <c r="AG58" s="3">
        <v>1</v>
      </c>
      <c r="AH58" s="3">
        <v>1</v>
      </c>
      <c r="AI58" s="3">
        <f t="shared" si="87"/>
        <v>10</v>
      </c>
      <c r="AK58" s="12"/>
      <c r="AL58" s="3">
        <v>2</v>
      </c>
      <c r="AM58" s="3">
        <v>3</v>
      </c>
      <c r="AN58" s="3">
        <v>3</v>
      </c>
      <c r="AO58" s="3">
        <v>1</v>
      </c>
      <c r="AP58" s="3">
        <v>1</v>
      </c>
      <c r="AQ58" s="3">
        <f t="shared" si="88"/>
        <v>10</v>
      </c>
      <c r="AR58" s="3">
        <v>2</v>
      </c>
      <c r="AS58" s="3">
        <v>1</v>
      </c>
      <c r="AT58" s="3">
        <v>2</v>
      </c>
      <c r="AU58" s="3">
        <v>3</v>
      </c>
      <c r="AV58" s="3">
        <v>1</v>
      </c>
      <c r="AW58" s="3">
        <v>1</v>
      </c>
      <c r="AX58" s="3">
        <f t="shared" si="89"/>
        <v>10</v>
      </c>
      <c r="AZ58" s="3">
        <v>2</v>
      </c>
      <c r="BA58" s="3">
        <v>2</v>
      </c>
      <c r="BB58" s="3">
        <v>1</v>
      </c>
      <c r="BC58" s="3">
        <v>1</v>
      </c>
      <c r="BD58" s="3">
        <v>0</v>
      </c>
      <c r="BE58" s="3">
        <v>0</v>
      </c>
      <c r="BF58" s="3">
        <f t="shared" si="90"/>
        <v>6</v>
      </c>
      <c r="BG58" s="3">
        <v>2</v>
      </c>
      <c r="BH58" s="3">
        <v>4</v>
      </c>
      <c r="BI58" s="3">
        <v>3</v>
      </c>
      <c r="BJ58" s="3">
        <v>1</v>
      </c>
      <c r="BK58" s="3">
        <f t="shared" si="91"/>
        <v>10</v>
      </c>
      <c r="BO58" s="3">
        <v>3</v>
      </c>
      <c r="BP58" s="3">
        <v>5</v>
      </c>
      <c r="BQ58" s="3">
        <f>SUM(BO58:BP58)</f>
        <v>8</v>
      </c>
      <c r="BS58" s="3">
        <v>4</v>
      </c>
      <c r="BT58" s="3">
        <v>4</v>
      </c>
      <c r="BU58" s="3">
        <v>2</v>
      </c>
      <c r="BV58" s="3">
        <f t="shared" si="92"/>
        <v>10</v>
      </c>
      <c r="BY58" s="3">
        <v>1</v>
      </c>
      <c r="BZ58" s="3">
        <v>1</v>
      </c>
      <c r="CA58" s="3">
        <v>3</v>
      </c>
      <c r="CB58" s="3">
        <v>2</v>
      </c>
      <c r="CC58" s="3">
        <v>2</v>
      </c>
      <c r="CD58" s="3">
        <v>1</v>
      </c>
      <c r="CE58" s="3">
        <f t="shared" si="93"/>
        <v>10</v>
      </c>
    </row>
    <row r="59" spans="1:83" ht="15.75" x14ac:dyDescent="0.25">
      <c r="A59" s="11" t="s">
        <v>42</v>
      </c>
      <c r="B59" s="24">
        <f t="shared" si="94"/>
        <v>68</v>
      </c>
      <c r="C59" s="22">
        <f t="shared" si="95"/>
        <v>9</v>
      </c>
      <c r="D59" s="22">
        <f t="shared" si="96"/>
        <v>9</v>
      </c>
      <c r="E59" s="22">
        <f t="shared" si="97"/>
        <v>4</v>
      </c>
      <c r="F59" s="22">
        <f t="shared" si="98"/>
        <v>9</v>
      </c>
      <c r="G59" s="22">
        <f t="shared" si="99"/>
        <v>8</v>
      </c>
      <c r="H59" s="22">
        <f t="shared" si="100"/>
        <v>9</v>
      </c>
      <c r="I59" s="22">
        <f t="shared" si="101"/>
        <v>3</v>
      </c>
      <c r="J59" s="22">
        <f t="shared" si="102"/>
        <v>4</v>
      </c>
      <c r="K59" s="22">
        <f t="shared" si="103"/>
        <v>6</v>
      </c>
      <c r="L59" s="22">
        <f t="shared" si="104"/>
        <v>7</v>
      </c>
      <c r="M59" s="3">
        <v>3</v>
      </c>
      <c r="N59" s="3">
        <v>2</v>
      </c>
      <c r="O59" s="3">
        <v>2</v>
      </c>
      <c r="P59" s="3">
        <v>0</v>
      </c>
      <c r="Q59" s="3">
        <v>1</v>
      </c>
      <c r="R59" s="3">
        <v>1</v>
      </c>
      <c r="S59" s="3">
        <f>SUM(M59:R59)</f>
        <v>9</v>
      </c>
      <c r="T59" s="3">
        <v>2</v>
      </c>
      <c r="U59" s="3">
        <v>1</v>
      </c>
      <c r="V59" s="3">
        <v>2</v>
      </c>
      <c r="W59" s="3">
        <v>2</v>
      </c>
      <c r="X59" s="3">
        <v>2</v>
      </c>
      <c r="Y59" s="3">
        <v>0</v>
      </c>
      <c r="Z59" s="3">
        <f t="shared" si="86"/>
        <v>9</v>
      </c>
      <c r="AA59" s="3">
        <v>1</v>
      </c>
      <c r="AB59" s="3">
        <v>1</v>
      </c>
      <c r="AC59" s="3">
        <v>1</v>
      </c>
      <c r="AD59" s="3">
        <v>0</v>
      </c>
      <c r="AE59" s="3">
        <v>1</v>
      </c>
      <c r="AF59" s="3">
        <v>0</v>
      </c>
      <c r="AG59" s="3">
        <v>0</v>
      </c>
      <c r="AH59" s="3">
        <v>0</v>
      </c>
      <c r="AI59" s="3">
        <f t="shared" si="87"/>
        <v>4</v>
      </c>
      <c r="AK59" s="12"/>
      <c r="AL59" s="3">
        <v>2</v>
      </c>
      <c r="AM59" s="3">
        <v>3</v>
      </c>
      <c r="AN59" s="3">
        <v>3</v>
      </c>
      <c r="AO59" s="3">
        <v>0</v>
      </c>
      <c r="AP59" s="3">
        <v>1</v>
      </c>
      <c r="AQ59" s="3">
        <f t="shared" si="88"/>
        <v>9</v>
      </c>
      <c r="AR59" s="3">
        <v>2</v>
      </c>
      <c r="AS59" s="3">
        <v>1</v>
      </c>
      <c r="AT59" s="3">
        <v>0</v>
      </c>
      <c r="AU59" s="3">
        <v>3</v>
      </c>
      <c r="AV59" s="3">
        <v>1</v>
      </c>
      <c r="AW59" s="3">
        <v>1</v>
      </c>
      <c r="AX59" s="3">
        <f t="shared" si="89"/>
        <v>8</v>
      </c>
      <c r="AZ59" s="3">
        <v>2</v>
      </c>
      <c r="BA59" s="3">
        <v>1</v>
      </c>
      <c r="BB59" s="3">
        <v>1</v>
      </c>
      <c r="BC59" s="3">
        <v>3</v>
      </c>
      <c r="BD59" s="3">
        <v>1</v>
      </c>
      <c r="BE59" s="3">
        <v>1</v>
      </c>
      <c r="BF59" s="3">
        <f t="shared" si="90"/>
        <v>9</v>
      </c>
      <c r="BG59" s="3">
        <v>2</v>
      </c>
      <c r="BH59" s="3">
        <v>0</v>
      </c>
      <c r="BI59" s="3">
        <v>0</v>
      </c>
      <c r="BJ59" s="3">
        <v>1</v>
      </c>
      <c r="BK59" s="3">
        <f t="shared" si="91"/>
        <v>3</v>
      </c>
      <c r="BO59" s="3">
        <v>2</v>
      </c>
      <c r="BP59" s="3">
        <v>2</v>
      </c>
      <c r="BQ59" s="3">
        <f>SUM(BO59:BP59)</f>
        <v>4</v>
      </c>
      <c r="BS59" s="3">
        <v>4</v>
      </c>
      <c r="BT59" s="3">
        <v>0</v>
      </c>
      <c r="BU59" s="3">
        <v>2</v>
      </c>
      <c r="BV59" s="3">
        <f t="shared" si="92"/>
        <v>6</v>
      </c>
      <c r="BY59" s="3">
        <v>1</v>
      </c>
      <c r="BZ59" s="3">
        <v>1</v>
      </c>
      <c r="CA59" s="3">
        <v>2</v>
      </c>
      <c r="CB59" s="3">
        <v>2</v>
      </c>
      <c r="CC59" s="3">
        <v>0</v>
      </c>
      <c r="CD59" s="3">
        <v>1</v>
      </c>
      <c r="CE59" s="3">
        <f t="shared" si="93"/>
        <v>7</v>
      </c>
    </row>
    <row r="60" spans="1:83" ht="15.75" x14ac:dyDescent="0.25">
      <c r="A60" s="11" t="s">
        <v>43</v>
      </c>
      <c r="B60" s="24">
        <f t="shared" si="94"/>
        <v>60</v>
      </c>
      <c r="C60" s="22">
        <f t="shared" si="95"/>
        <v>1</v>
      </c>
      <c r="D60" s="22">
        <f t="shared" si="96"/>
        <v>5</v>
      </c>
      <c r="E60" s="22">
        <f t="shared" si="97"/>
        <v>8</v>
      </c>
      <c r="F60" s="22">
        <f t="shared" si="98"/>
        <v>9</v>
      </c>
      <c r="G60" s="22">
        <f t="shared" si="99"/>
        <v>6</v>
      </c>
      <c r="H60" s="22">
        <f t="shared" si="100"/>
        <v>3</v>
      </c>
      <c r="I60" s="22">
        <f t="shared" si="101"/>
        <v>6</v>
      </c>
      <c r="J60" s="22">
        <f t="shared" si="102"/>
        <v>8</v>
      </c>
      <c r="K60" s="22">
        <f t="shared" si="103"/>
        <v>6</v>
      </c>
      <c r="L60" s="22">
        <f t="shared" si="104"/>
        <v>8</v>
      </c>
      <c r="M60" s="3">
        <v>1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f t="shared" si="85"/>
        <v>1</v>
      </c>
      <c r="T60" s="3">
        <v>2</v>
      </c>
      <c r="U60" s="3">
        <v>1</v>
      </c>
      <c r="V60" s="3">
        <v>2</v>
      </c>
      <c r="W60" s="3">
        <v>0</v>
      </c>
      <c r="X60" s="3">
        <v>0</v>
      </c>
      <c r="Y60" s="3">
        <v>0</v>
      </c>
      <c r="Z60" s="3">
        <f t="shared" si="86"/>
        <v>5</v>
      </c>
      <c r="AA60" s="3">
        <v>0</v>
      </c>
      <c r="AB60" s="3">
        <v>1</v>
      </c>
      <c r="AC60" s="3">
        <v>1</v>
      </c>
      <c r="AD60" s="3">
        <v>2</v>
      </c>
      <c r="AE60" s="3">
        <v>2</v>
      </c>
      <c r="AF60" s="3">
        <v>1</v>
      </c>
      <c r="AG60" s="3">
        <v>0</v>
      </c>
      <c r="AH60" s="3">
        <v>1</v>
      </c>
      <c r="AI60" s="3">
        <f t="shared" si="87"/>
        <v>8</v>
      </c>
      <c r="AK60" s="12"/>
      <c r="AL60" s="3">
        <v>2</v>
      </c>
      <c r="AM60" s="3">
        <v>3</v>
      </c>
      <c r="AN60" s="3">
        <v>3</v>
      </c>
      <c r="AO60" s="3">
        <v>0</v>
      </c>
      <c r="AP60" s="3">
        <v>1</v>
      </c>
      <c r="AQ60" s="3">
        <f t="shared" si="88"/>
        <v>9</v>
      </c>
      <c r="AR60" s="3">
        <v>0</v>
      </c>
      <c r="AS60" s="3">
        <v>1</v>
      </c>
      <c r="AT60" s="3">
        <v>1</v>
      </c>
      <c r="AU60" s="3">
        <v>3</v>
      </c>
      <c r="AV60" s="3">
        <v>1</v>
      </c>
      <c r="AW60" s="3">
        <v>0</v>
      </c>
      <c r="AX60" s="3">
        <f t="shared" si="89"/>
        <v>6</v>
      </c>
      <c r="AZ60" s="3">
        <v>2</v>
      </c>
      <c r="BA60" s="3">
        <v>0</v>
      </c>
      <c r="BB60" s="3">
        <v>1</v>
      </c>
      <c r="BC60" s="3">
        <v>0</v>
      </c>
      <c r="BD60" s="3">
        <v>0</v>
      </c>
      <c r="BE60" s="3">
        <v>0</v>
      </c>
      <c r="BF60" s="3">
        <f t="shared" si="90"/>
        <v>3</v>
      </c>
      <c r="BG60" s="3">
        <v>2</v>
      </c>
      <c r="BH60" s="3">
        <v>0</v>
      </c>
      <c r="BI60" s="3">
        <v>3</v>
      </c>
      <c r="BJ60" s="3">
        <v>1</v>
      </c>
      <c r="BK60" s="3">
        <f t="shared" si="91"/>
        <v>6</v>
      </c>
      <c r="BO60" s="3">
        <v>4</v>
      </c>
      <c r="BP60" s="3">
        <v>4</v>
      </c>
      <c r="BQ60" s="3">
        <f t="shared" si="105"/>
        <v>8</v>
      </c>
      <c r="BS60" s="3">
        <v>4</v>
      </c>
      <c r="BT60" s="3">
        <v>0</v>
      </c>
      <c r="BU60" s="3">
        <v>2</v>
      </c>
      <c r="BV60" s="3">
        <f t="shared" si="92"/>
        <v>6</v>
      </c>
      <c r="BY60" s="3">
        <v>1</v>
      </c>
      <c r="BZ60" s="3">
        <v>1</v>
      </c>
      <c r="CA60" s="3">
        <v>1</v>
      </c>
      <c r="CB60" s="3">
        <v>2</v>
      </c>
      <c r="CC60" s="3">
        <v>2</v>
      </c>
      <c r="CD60" s="3">
        <v>1</v>
      </c>
      <c r="CE60" s="3">
        <f t="shared" si="93"/>
        <v>8</v>
      </c>
    </row>
    <row r="61" spans="1:83" ht="15.75" x14ac:dyDescent="0.25">
      <c r="A61" s="11" t="s">
        <v>16</v>
      </c>
      <c r="B61" s="24">
        <f t="shared" si="94"/>
        <v>53</v>
      </c>
      <c r="C61" s="22">
        <f t="shared" si="95"/>
        <v>1</v>
      </c>
      <c r="D61" s="22">
        <f t="shared" si="96"/>
        <v>3</v>
      </c>
      <c r="E61" s="22">
        <f t="shared" si="97"/>
        <v>7</v>
      </c>
      <c r="F61" s="22">
        <f t="shared" si="98"/>
        <v>9</v>
      </c>
      <c r="G61" s="22">
        <f t="shared" si="99"/>
        <v>1</v>
      </c>
      <c r="H61" s="22">
        <f t="shared" si="100"/>
        <v>3</v>
      </c>
      <c r="I61" s="22">
        <f t="shared" si="101"/>
        <v>10</v>
      </c>
      <c r="J61" s="22">
        <f t="shared" si="102"/>
        <v>4</v>
      </c>
      <c r="K61" s="22">
        <f t="shared" si="103"/>
        <v>6</v>
      </c>
      <c r="L61" s="22">
        <f t="shared" si="104"/>
        <v>9</v>
      </c>
      <c r="M61" s="3">
        <v>1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f t="shared" si="85"/>
        <v>1</v>
      </c>
      <c r="T61" s="3">
        <v>2</v>
      </c>
      <c r="U61" s="3">
        <v>1</v>
      </c>
      <c r="V61" s="3">
        <v>0</v>
      </c>
      <c r="W61" s="3">
        <v>0</v>
      </c>
      <c r="X61" s="3">
        <v>0</v>
      </c>
      <c r="Y61" s="3">
        <v>0</v>
      </c>
      <c r="Z61" s="3">
        <f t="shared" si="86"/>
        <v>3</v>
      </c>
      <c r="AA61" s="3">
        <v>1</v>
      </c>
      <c r="AB61" s="3">
        <v>1</v>
      </c>
      <c r="AC61" s="3">
        <v>1</v>
      </c>
      <c r="AD61" s="3">
        <v>2</v>
      </c>
      <c r="AE61" s="3">
        <v>2</v>
      </c>
      <c r="AF61" s="3">
        <v>0</v>
      </c>
      <c r="AG61" s="3">
        <v>0</v>
      </c>
      <c r="AH61" s="3">
        <v>0</v>
      </c>
      <c r="AI61" s="3">
        <f t="shared" si="87"/>
        <v>7</v>
      </c>
      <c r="AK61" s="12"/>
      <c r="AL61" s="3">
        <v>2</v>
      </c>
      <c r="AM61" s="3">
        <v>3</v>
      </c>
      <c r="AN61" s="3">
        <v>3</v>
      </c>
      <c r="AO61" s="3">
        <v>0</v>
      </c>
      <c r="AP61" s="3">
        <v>1</v>
      </c>
      <c r="AQ61" s="3">
        <f t="shared" si="88"/>
        <v>9</v>
      </c>
      <c r="AR61" s="3">
        <v>0</v>
      </c>
      <c r="AS61" s="3">
        <v>1</v>
      </c>
      <c r="AT61" s="3">
        <v>0</v>
      </c>
      <c r="AU61" s="3">
        <v>0</v>
      </c>
      <c r="AV61" s="3">
        <v>0</v>
      </c>
      <c r="AW61" s="3">
        <v>0</v>
      </c>
      <c r="AX61" s="3">
        <f t="shared" si="89"/>
        <v>1</v>
      </c>
      <c r="AZ61" s="3">
        <v>2</v>
      </c>
      <c r="BA61" s="3">
        <v>0</v>
      </c>
      <c r="BB61" s="3">
        <v>1</v>
      </c>
      <c r="BC61" s="3">
        <v>0</v>
      </c>
      <c r="BD61" s="3">
        <v>0</v>
      </c>
      <c r="BE61" s="3">
        <v>0</v>
      </c>
      <c r="BF61" s="3">
        <f t="shared" si="90"/>
        <v>3</v>
      </c>
      <c r="BG61" s="3">
        <v>2</v>
      </c>
      <c r="BH61" s="3">
        <v>4</v>
      </c>
      <c r="BI61" s="3">
        <v>3</v>
      </c>
      <c r="BJ61" s="3">
        <v>1</v>
      </c>
      <c r="BK61" s="3">
        <f t="shared" si="91"/>
        <v>10</v>
      </c>
      <c r="BO61" s="3">
        <v>0</v>
      </c>
      <c r="BP61" s="3">
        <v>4</v>
      </c>
      <c r="BQ61" s="3">
        <f t="shared" si="105"/>
        <v>4</v>
      </c>
      <c r="BS61" s="3">
        <v>0</v>
      </c>
      <c r="BT61" s="3">
        <v>4</v>
      </c>
      <c r="BU61" s="3">
        <v>2</v>
      </c>
      <c r="BV61" s="3">
        <f t="shared" si="92"/>
        <v>6</v>
      </c>
      <c r="BY61" s="3">
        <v>1</v>
      </c>
      <c r="BZ61" s="3">
        <v>1</v>
      </c>
      <c r="CA61" s="3">
        <v>2</v>
      </c>
      <c r="CB61" s="3">
        <v>2</v>
      </c>
      <c r="CC61" s="3">
        <v>2</v>
      </c>
      <c r="CD61" s="3">
        <v>1</v>
      </c>
      <c r="CE61" s="3">
        <f t="shared" si="93"/>
        <v>9</v>
      </c>
    </row>
    <row r="62" spans="1:83" ht="15.75" x14ac:dyDescent="0.25">
      <c r="A62" s="11" t="s">
        <v>24</v>
      </c>
      <c r="B62" s="24">
        <f t="shared" si="94"/>
        <v>47</v>
      </c>
      <c r="C62" s="22">
        <f t="shared" si="95"/>
        <v>0</v>
      </c>
      <c r="D62" s="22">
        <f t="shared" si="96"/>
        <v>3</v>
      </c>
      <c r="E62" s="22">
        <f t="shared" si="97"/>
        <v>5</v>
      </c>
      <c r="F62" s="22">
        <f t="shared" si="98"/>
        <v>9</v>
      </c>
      <c r="G62" s="22">
        <f t="shared" si="99"/>
        <v>1</v>
      </c>
      <c r="H62" s="22">
        <f t="shared" si="100"/>
        <v>2</v>
      </c>
      <c r="I62" s="22">
        <f t="shared" si="101"/>
        <v>5</v>
      </c>
      <c r="J62" s="22">
        <f t="shared" si="102"/>
        <v>8</v>
      </c>
      <c r="K62" s="22">
        <f t="shared" si="103"/>
        <v>6</v>
      </c>
      <c r="L62" s="22">
        <f t="shared" si="104"/>
        <v>8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f t="shared" si="85"/>
        <v>0</v>
      </c>
      <c r="T62" s="3">
        <v>2</v>
      </c>
      <c r="U62" s="3">
        <v>1</v>
      </c>
      <c r="V62" s="3">
        <v>0</v>
      </c>
      <c r="W62" s="3">
        <v>0</v>
      </c>
      <c r="X62" s="3">
        <v>0</v>
      </c>
      <c r="Y62" s="3">
        <v>0</v>
      </c>
      <c r="Z62" s="3">
        <f t="shared" si="86"/>
        <v>3</v>
      </c>
      <c r="AA62" s="3">
        <v>0</v>
      </c>
      <c r="AB62" s="3">
        <v>1</v>
      </c>
      <c r="AC62" s="3">
        <v>1</v>
      </c>
      <c r="AD62" s="3">
        <v>0</v>
      </c>
      <c r="AE62" s="3">
        <v>2</v>
      </c>
      <c r="AF62" s="3">
        <v>0</v>
      </c>
      <c r="AG62" s="3">
        <v>0</v>
      </c>
      <c r="AH62" s="3">
        <v>1</v>
      </c>
      <c r="AI62" s="3">
        <f t="shared" si="87"/>
        <v>5</v>
      </c>
      <c r="AK62" s="12"/>
      <c r="AL62" s="3">
        <v>2</v>
      </c>
      <c r="AM62" s="3">
        <v>3</v>
      </c>
      <c r="AN62" s="3">
        <v>3</v>
      </c>
      <c r="AO62" s="3">
        <v>0</v>
      </c>
      <c r="AP62" s="3">
        <v>1</v>
      </c>
      <c r="AQ62" s="3">
        <f t="shared" si="88"/>
        <v>9</v>
      </c>
      <c r="AR62" s="3">
        <v>0</v>
      </c>
      <c r="AS62" s="3">
        <v>1</v>
      </c>
      <c r="AT62" s="3">
        <v>0</v>
      </c>
      <c r="AU62" s="3">
        <v>0</v>
      </c>
      <c r="AV62" s="3">
        <v>0</v>
      </c>
      <c r="AW62" s="3">
        <v>0</v>
      </c>
      <c r="AX62" s="3">
        <f t="shared" si="89"/>
        <v>1</v>
      </c>
      <c r="AZ62" s="3">
        <v>2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f t="shared" si="90"/>
        <v>2</v>
      </c>
      <c r="BG62" s="3">
        <v>2</v>
      </c>
      <c r="BH62" s="3">
        <v>2</v>
      </c>
      <c r="BI62" s="3">
        <v>0</v>
      </c>
      <c r="BJ62" s="3">
        <v>1</v>
      </c>
      <c r="BK62" s="3">
        <f t="shared" si="91"/>
        <v>5</v>
      </c>
      <c r="BO62" s="3">
        <v>5</v>
      </c>
      <c r="BP62" s="3">
        <v>3</v>
      </c>
      <c r="BQ62" s="3">
        <f t="shared" si="105"/>
        <v>8</v>
      </c>
      <c r="BS62" s="3">
        <v>4</v>
      </c>
      <c r="BT62" s="3">
        <v>0</v>
      </c>
      <c r="BU62" s="3">
        <v>2</v>
      </c>
      <c r="BV62" s="3">
        <f t="shared" si="92"/>
        <v>6</v>
      </c>
      <c r="BY62" s="3">
        <v>1</v>
      </c>
      <c r="BZ62" s="3">
        <v>1</v>
      </c>
      <c r="CA62" s="3">
        <v>3</v>
      </c>
      <c r="CB62" s="3">
        <v>2</v>
      </c>
      <c r="CC62" s="3">
        <v>0</v>
      </c>
      <c r="CD62" s="3">
        <v>1</v>
      </c>
      <c r="CE62" s="3">
        <f t="shared" si="93"/>
        <v>8</v>
      </c>
    </row>
    <row r="63" spans="1:83" ht="15.75" x14ac:dyDescent="0.25">
      <c r="A63" s="11" t="s">
        <v>26</v>
      </c>
      <c r="B63" s="24">
        <f t="shared" si="94"/>
        <v>60</v>
      </c>
      <c r="C63" s="22">
        <f t="shared" si="95"/>
        <v>9</v>
      </c>
      <c r="D63" s="22">
        <f t="shared" si="96"/>
        <v>3</v>
      </c>
      <c r="E63" s="22">
        <f t="shared" si="97"/>
        <v>5</v>
      </c>
      <c r="F63" s="22">
        <f t="shared" si="98"/>
        <v>9</v>
      </c>
      <c r="G63" s="22">
        <f t="shared" si="99"/>
        <v>5</v>
      </c>
      <c r="H63" s="22">
        <f t="shared" si="100"/>
        <v>3</v>
      </c>
      <c r="I63" s="22">
        <f t="shared" si="101"/>
        <v>6</v>
      </c>
      <c r="J63" s="22">
        <f t="shared" si="102"/>
        <v>5</v>
      </c>
      <c r="K63" s="22">
        <f t="shared" si="103"/>
        <v>6</v>
      </c>
      <c r="L63" s="22">
        <f t="shared" si="104"/>
        <v>9</v>
      </c>
      <c r="M63" s="3">
        <v>3</v>
      </c>
      <c r="N63" s="3">
        <v>2</v>
      </c>
      <c r="O63" s="3">
        <v>2</v>
      </c>
      <c r="P63" s="3">
        <v>1</v>
      </c>
      <c r="Q63" s="3">
        <v>0</v>
      </c>
      <c r="R63" s="3">
        <v>1</v>
      </c>
      <c r="S63" s="3">
        <f t="shared" si="85"/>
        <v>9</v>
      </c>
      <c r="T63" s="3">
        <v>2</v>
      </c>
      <c r="U63" s="3">
        <v>1</v>
      </c>
      <c r="V63" s="3">
        <v>0</v>
      </c>
      <c r="W63" s="3">
        <v>0</v>
      </c>
      <c r="X63" s="3">
        <v>0</v>
      </c>
      <c r="Y63" s="3">
        <v>0</v>
      </c>
      <c r="Z63" s="3">
        <f t="shared" si="86"/>
        <v>3</v>
      </c>
      <c r="AA63" s="3">
        <v>1</v>
      </c>
      <c r="AB63" s="3">
        <v>1</v>
      </c>
      <c r="AC63" s="3">
        <v>1</v>
      </c>
      <c r="AD63" s="3">
        <v>2</v>
      </c>
      <c r="AE63" s="3">
        <v>0</v>
      </c>
      <c r="AF63" s="3">
        <v>0</v>
      </c>
      <c r="AG63" s="3">
        <v>0</v>
      </c>
      <c r="AH63" s="3">
        <v>0</v>
      </c>
      <c r="AI63" s="3">
        <f t="shared" si="87"/>
        <v>5</v>
      </c>
      <c r="AK63" s="12"/>
      <c r="AL63" s="3">
        <v>2</v>
      </c>
      <c r="AM63" s="3">
        <v>3</v>
      </c>
      <c r="AN63" s="3">
        <v>3</v>
      </c>
      <c r="AO63" s="3">
        <v>0</v>
      </c>
      <c r="AP63" s="3">
        <v>1</v>
      </c>
      <c r="AQ63" s="3">
        <f t="shared" si="88"/>
        <v>9</v>
      </c>
      <c r="AR63" s="3">
        <v>2</v>
      </c>
      <c r="AS63" s="3">
        <v>1</v>
      </c>
      <c r="AT63" s="3">
        <v>0</v>
      </c>
      <c r="AU63" s="3">
        <v>0</v>
      </c>
      <c r="AV63" s="3">
        <v>1</v>
      </c>
      <c r="AW63" s="3">
        <v>1</v>
      </c>
      <c r="AX63" s="3">
        <f t="shared" si="89"/>
        <v>5</v>
      </c>
      <c r="AZ63" s="3">
        <v>2</v>
      </c>
      <c r="BA63" s="3">
        <v>0</v>
      </c>
      <c r="BB63" s="3">
        <v>1</v>
      </c>
      <c r="BC63" s="3">
        <v>0</v>
      </c>
      <c r="BD63" s="3">
        <v>0</v>
      </c>
      <c r="BE63" s="3">
        <v>0</v>
      </c>
      <c r="BF63" s="3">
        <f t="shared" si="90"/>
        <v>3</v>
      </c>
      <c r="BG63" s="3">
        <v>2</v>
      </c>
      <c r="BH63" s="3">
        <v>0</v>
      </c>
      <c r="BI63" s="3">
        <v>3</v>
      </c>
      <c r="BJ63" s="3">
        <v>1</v>
      </c>
      <c r="BK63" s="3">
        <f t="shared" si="91"/>
        <v>6</v>
      </c>
      <c r="BO63" s="3">
        <v>5</v>
      </c>
      <c r="BP63" s="3">
        <v>0</v>
      </c>
      <c r="BQ63" s="3">
        <f t="shared" si="105"/>
        <v>5</v>
      </c>
      <c r="BS63" s="3">
        <v>4</v>
      </c>
      <c r="BT63" s="3">
        <v>0</v>
      </c>
      <c r="BU63" s="3">
        <v>2</v>
      </c>
      <c r="BV63" s="3">
        <f t="shared" si="92"/>
        <v>6</v>
      </c>
      <c r="BY63" s="3">
        <v>1</v>
      </c>
      <c r="BZ63" s="3">
        <v>1</v>
      </c>
      <c r="CA63" s="3">
        <v>2</v>
      </c>
      <c r="CB63" s="3">
        <v>2</v>
      </c>
      <c r="CC63" s="3">
        <v>2</v>
      </c>
      <c r="CD63" s="3">
        <v>1</v>
      </c>
      <c r="CE63" s="3">
        <f t="shared" si="93"/>
        <v>9</v>
      </c>
    </row>
    <row r="64" spans="1:83" ht="15.75" x14ac:dyDescent="0.25">
      <c r="A64" s="11" t="s">
        <v>34</v>
      </c>
      <c r="B64" s="24">
        <f t="shared" si="94"/>
        <v>65</v>
      </c>
      <c r="C64" s="22">
        <f t="shared" si="95"/>
        <v>9</v>
      </c>
      <c r="D64" s="22">
        <f t="shared" si="96"/>
        <v>5</v>
      </c>
      <c r="E64" s="22">
        <f t="shared" si="97"/>
        <v>4</v>
      </c>
      <c r="F64" s="22">
        <f t="shared" si="98"/>
        <v>7</v>
      </c>
      <c r="G64" s="22">
        <f t="shared" si="99"/>
        <v>0</v>
      </c>
      <c r="H64" s="22">
        <f t="shared" si="100"/>
        <v>5</v>
      </c>
      <c r="I64" s="22">
        <f t="shared" si="101"/>
        <v>6</v>
      </c>
      <c r="J64" s="22">
        <f t="shared" si="102"/>
        <v>10</v>
      </c>
      <c r="K64" s="22">
        <f t="shared" si="103"/>
        <v>10</v>
      </c>
      <c r="L64" s="22">
        <f t="shared" si="104"/>
        <v>9</v>
      </c>
      <c r="M64" s="3">
        <v>3</v>
      </c>
      <c r="N64" s="3">
        <v>2</v>
      </c>
      <c r="O64" s="3">
        <v>2</v>
      </c>
      <c r="P64" s="3">
        <v>1</v>
      </c>
      <c r="Q64" s="3">
        <v>0</v>
      </c>
      <c r="R64" s="3">
        <v>1</v>
      </c>
      <c r="S64" s="3">
        <f t="shared" si="85"/>
        <v>9</v>
      </c>
      <c r="T64" s="3">
        <v>2</v>
      </c>
      <c r="U64" s="3">
        <v>1</v>
      </c>
      <c r="V64" s="3">
        <v>2</v>
      </c>
      <c r="W64" s="3">
        <v>0</v>
      </c>
      <c r="X64" s="3">
        <v>0</v>
      </c>
      <c r="Y64" s="3">
        <v>0</v>
      </c>
      <c r="Z64" s="3">
        <f t="shared" si="86"/>
        <v>5</v>
      </c>
      <c r="AA64" s="3">
        <v>0</v>
      </c>
      <c r="AB64" s="3">
        <v>1</v>
      </c>
      <c r="AC64" s="3">
        <v>1</v>
      </c>
      <c r="AD64" s="3">
        <v>2</v>
      </c>
      <c r="AE64" s="3">
        <v>0</v>
      </c>
      <c r="AF64" s="3">
        <v>0</v>
      </c>
      <c r="AG64" s="3">
        <v>0</v>
      </c>
      <c r="AH64" s="3">
        <v>0</v>
      </c>
      <c r="AI64" s="3">
        <f t="shared" si="87"/>
        <v>4</v>
      </c>
      <c r="AK64" s="12"/>
      <c r="AL64" s="3">
        <v>2</v>
      </c>
      <c r="AM64" s="3">
        <v>3</v>
      </c>
      <c r="AN64" s="3">
        <v>0</v>
      </c>
      <c r="AO64" s="3">
        <v>1</v>
      </c>
      <c r="AP64" s="3">
        <v>1</v>
      </c>
      <c r="AQ64" s="3">
        <f t="shared" si="88"/>
        <v>7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f t="shared" si="89"/>
        <v>0</v>
      </c>
      <c r="AZ64" s="3">
        <v>2</v>
      </c>
      <c r="BA64" s="3">
        <v>0</v>
      </c>
      <c r="BB64" s="3">
        <v>1</v>
      </c>
      <c r="BC64" s="3">
        <v>2</v>
      </c>
      <c r="BD64" s="3">
        <v>0</v>
      </c>
      <c r="BE64" s="3">
        <v>0</v>
      </c>
      <c r="BF64" s="3">
        <f t="shared" si="90"/>
        <v>5</v>
      </c>
      <c r="BG64" s="3">
        <v>2</v>
      </c>
      <c r="BH64" s="3">
        <v>4</v>
      </c>
      <c r="BI64" s="3">
        <v>0</v>
      </c>
      <c r="BJ64" s="3">
        <v>0</v>
      </c>
      <c r="BK64" s="3">
        <f t="shared" si="91"/>
        <v>6</v>
      </c>
      <c r="BO64" s="3">
        <v>5</v>
      </c>
      <c r="BP64" s="3">
        <v>5</v>
      </c>
      <c r="BQ64" s="3">
        <f t="shared" si="105"/>
        <v>10</v>
      </c>
      <c r="BS64" s="3">
        <v>4</v>
      </c>
      <c r="BT64" s="3">
        <v>4</v>
      </c>
      <c r="BU64" s="3">
        <v>2</v>
      </c>
      <c r="BV64" s="3">
        <f t="shared" si="92"/>
        <v>10</v>
      </c>
      <c r="BY64" s="3">
        <v>1</v>
      </c>
      <c r="BZ64" s="3">
        <v>1</v>
      </c>
      <c r="CA64" s="3">
        <v>2</v>
      </c>
      <c r="CB64" s="3">
        <v>2</v>
      </c>
      <c r="CC64" s="3">
        <v>2</v>
      </c>
      <c r="CD64" s="3">
        <v>1</v>
      </c>
      <c r="CE64" s="3">
        <f t="shared" si="93"/>
        <v>9</v>
      </c>
    </row>
    <row r="65" spans="1:61" ht="15.75" x14ac:dyDescent="0.25">
      <c r="A65" s="4"/>
      <c r="B65" s="25"/>
      <c r="C65" s="4"/>
      <c r="D65" s="4"/>
      <c r="E65" s="4"/>
      <c r="F65" s="4"/>
      <c r="G65" s="4"/>
      <c r="H65" s="4"/>
      <c r="I65" s="4"/>
      <c r="J65" s="4"/>
      <c r="K65" s="4"/>
      <c r="L65" s="4"/>
      <c r="M65" s="3"/>
      <c r="N65" s="3"/>
      <c r="O65" s="3"/>
      <c r="P65" s="3"/>
      <c r="Q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K65" s="12"/>
      <c r="BI65" s="12"/>
    </row>
    <row r="66" spans="1:61" ht="15.75" x14ac:dyDescent="0.25">
      <c r="A66" s="26" t="s">
        <v>202</v>
      </c>
      <c r="B66" s="27">
        <f>AVERAGE(B48:B64)</f>
        <v>56</v>
      </c>
      <c r="C66" s="27">
        <f>AVERAGE(C48:C64)</f>
        <v>4</v>
      </c>
      <c r="D66" s="27">
        <f t="shared" ref="D66:L66" si="106">AVERAGE(D48:D64)</f>
        <v>3.9411764705882355</v>
      </c>
      <c r="E66" s="27">
        <f t="shared" si="106"/>
        <v>5.3529411764705879</v>
      </c>
      <c r="F66" s="27">
        <f t="shared" si="106"/>
        <v>7.7058823529411766</v>
      </c>
      <c r="G66" s="27">
        <f t="shared" si="106"/>
        <v>3.3529411764705883</v>
      </c>
      <c r="H66" s="27">
        <f t="shared" si="106"/>
        <v>3.6470588235294117</v>
      </c>
      <c r="I66" s="27">
        <f t="shared" si="106"/>
        <v>7.1764705882352944</v>
      </c>
      <c r="J66" s="27">
        <f t="shared" si="106"/>
        <v>7.117647058823529</v>
      </c>
      <c r="K66" s="27">
        <f t="shared" si="106"/>
        <v>7</v>
      </c>
      <c r="L66" s="27">
        <f t="shared" si="106"/>
        <v>6.7058823529411766</v>
      </c>
      <c r="Q66" s="12"/>
      <c r="AK66" s="12"/>
      <c r="BI66" s="12"/>
    </row>
    <row r="67" spans="1:61" x14ac:dyDescent="0.25">
      <c r="Q67" s="12"/>
      <c r="AK67" s="12"/>
      <c r="BI67" s="12"/>
    </row>
    <row r="68" spans="1:61" x14ac:dyDescent="0.25">
      <c r="Q68" s="12"/>
      <c r="AK68" s="12"/>
      <c r="AL68">
        <f>35.0392*4.184*21.1</f>
        <v>3093.3446700800005</v>
      </c>
      <c r="BI68" s="12"/>
    </row>
    <row r="69" spans="1:61" x14ac:dyDescent="0.25">
      <c r="Q69" s="12"/>
      <c r="AK69" s="12"/>
      <c r="BI69" s="12"/>
    </row>
    <row r="70" spans="1:61" x14ac:dyDescent="0.25">
      <c r="A70" t="s">
        <v>10</v>
      </c>
      <c r="B70" s="1">
        <v>46</v>
      </c>
      <c r="C70">
        <v>1</v>
      </c>
      <c r="D70">
        <v>0</v>
      </c>
      <c r="E70">
        <v>5</v>
      </c>
      <c r="F70">
        <v>8</v>
      </c>
      <c r="G70">
        <v>5</v>
      </c>
      <c r="H70">
        <v>6</v>
      </c>
      <c r="I70">
        <v>10</v>
      </c>
      <c r="J70">
        <v>5</v>
      </c>
      <c r="K70">
        <v>3</v>
      </c>
      <c r="L70">
        <v>3</v>
      </c>
      <c r="AK70" s="12"/>
      <c r="BI70" s="12"/>
    </row>
    <row r="71" spans="1:61" x14ac:dyDescent="0.25">
      <c r="A71" t="s">
        <v>20</v>
      </c>
      <c r="B71" s="1">
        <v>58</v>
      </c>
      <c r="C71">
        <v>10</v>
      </c>
      <c r="D71">
        <v>3</v>
      </c>
      <c r="E71">
        <v>2</v>
      </c>
      <c r="F71">
        <v>8</v>
      </c>
      <c r="G71">
        <v>3</v>
      </c>
      <c r="H71">
        <v>2</v>
      </c>
      <c r="I71">
        <v>7</v>
      </c>
      <c r="J71">
        <v>6</v>
      </c>
      <c r="K71">
        <v>10</v>
      </c>
      <c r="L71">
        <v>7</v>
      </c>
      <c r="AK71" s="12"/>
      <c r="BI71" s="12"/>
    </row>
    <row r="72" spans="1:61" x14ac:dyDescent="0.25">
      <c r="A72" t="s">
        <v>37</v>
      </c>
      <c r="B72" s="1">
        <v>50</v>
      </c>
      <c r="C72">
        <v>5</v>
      </c>
      <c r="D72">
        <v>5</v>
      </c>
      <c r="E72">
        <v>2</v>
      </c>
      <c r="F72">
        <v>10</v>
      </c>
      <c r="G72">
        <v>5</v>
      </c>
      <c r="H72">
        <v>2</v>
      </c>
      <c r="I72">
        <v>10</v>
      </c>
      <c r="J72">
        <v>6</v>
      </c>
      <c r="K72">
        <v>0</v>
      </c>
      <c r="L72">
        <v>5</v>
      </c>
      <c r="AK72" s="12"/>
      <c r="BI72" s="12"/>
    </row>
    <row r="73" spans="1:61" x14ac:dyDescent="0.25">
      <c r="A73" t="s">
        <v>53</v>
      </c>
      <c r="B73" s="1">
        <v>50</v>
      </c>
      <c r="C73">
        <v>7</v>
      </c>
      <c r="D73">
        <v>4</v>
      </c>
      <c r="E73">
        <v>0</v>
      </c>
      <c r="F73">
        <v>10</v>
      </c>
      <c r="G73">
        <v>8</v>
      </c>
      <c r="H73">
        <v>1</v>
      </c>
      <c r="I73">
        <v>0</v>
      </c>
      <c r="J73">
        <v>7</v>
      </c>
      <c r="K73">
        <v>10</v>
      </c>
      <c r="L73">
        <v>3</v>
      </c>
      <c r="AK73" s="12"/>
      <c r="BI73" s="12"/>
    </row>
    <row r="74" spans="1:61" x14ac:dyDescent="0.25">
      <c r="A74" t="s">
        <v>45</v>
      </c>
      <c r="B74" s="1">
        <v>53</v>
      </c>
      <c r="C74">
        <v>1</v>
      </c>
      <c r="D74">
        <v>3</v>
      </c>
      <c r="E74">
        <v>5</v>
      </c>
      <c r="F74">
        <v>6</v>
      </c>
      <c r="G74">
        <v>1</v>
      </c>
      <c r="H74">
        <v>3</v>
      </c>
      <c r="I74">
        <v>10</v>
      </c>
      <c r="J74">
        <v>10</v>
      </c>
      <c r="K74">
        <v>6</v>
      </c>
      <c r="L74">
        <v>8</v>
      </c>
      <c r="AK74" s="12"/>
      <c r="BI74" s="12"/>
    </row>
    <row r="75" spans="1:61" x14ac:dyDescent="0.25">
      <c r="A75" t="s">
        <v>13</v>
      </c>
      <c r="B75" s="1">
        <v>55</v>
      </c>
      <c r="C75">
        <v>9</v>
      </c>
      <c r="D75">
        <v>3</v>
      </c>
      <c r="E75">
        <v>3</v>
      </c>
      <c r="F75">
        <v>9</v>
      </c>
      <c r="G75">
        <v>1</v>
      </c>
      <c r="H75">
        <v>2</v>
      </c>
      <c r="I75">
        <v>7</v>
      </c>
      <c r="J75">
        <v>7</v>
      </c>
      <c r="K75">
        <v>6</v>
      </c>
      <c r="L75">
        <v>8</v>
      </c>
      <c r="AK75" s="12"/>
      <c r="BI75" s="12"/>
    </row>
    <row r="76" spans="1:61" x14ac:dyDescent="0.25">
      <c r="A76" t="s">
        <v>8</v>
      </c>
      <c r="B76" s="1">
        <v>58</v>
      </c>
      <c r="C76">
        <v>5</v>
      </c>
      <c r="D76">
        <v>10</v>
      </c>
      <c r="E76">
        <v>7</v>
      </c>
      <c r="F76">
        <v>0</v>
      </c>
      <c r="G76">
        <v>8</v>
      </c>
      <c r="H76">
        <v>5</v>
      </c>
      <c r="I76">
        <v>0</v>
      </c>
      <c r="J76">
        <v>7</v>
      </c>
      <c r="K76">
        <v>6</v>
      </c>
      <c r="L76">
        <v>10</v>
      </c>
      <c r="BI76" s="12"/>
    </row>
    <row r="77" spans="1:61" x14ac:dyDescent="0.25">
      <c r="A77" t="s">
        <v>33</v>
      </c>
      <c r="B77" s="1">
        <v>43</v>
      </c>
      <c r="C77">
        <v>1</v>
      </c>
      <c r="D77">
        <v>3</v>
      </c>
      <c r="E77">
        <v>5</v>
      </c>
      <c r="F77">
        <v>3</v>
      </c>
      <c r="G77">
        <v>1</v>
      </c>
      <c r="H77">
        <v>3</v>
      </c>
      <c r="I77">
        <v>7</v>
      </c>
      <c r="J77">
        <v>8</v>
      </c>
      <c r="K77">
        <v>6</v>
      </c>
      <c r="L77">
        <v>6</v>
      </c>
    </row>
    <row r="78" spans="1:61" x14ac:dyDescent="0.25">
      <c r="A78" t="s">
        <v>21</v>
      </c>
      <c r="B78" s="1">
        <v>36</v>
      </c>
      <c r="C78">
        <v>5</v>
      </c>
      <c r="D78">
        <v>4</v>
      </c>
      <c r="E78">
        <v>0</v>
      </c>
      <c r="F78">
        <v>6</v>
      </c>
      <c r="G78">
        <v>7</v>
      </c>
      <c r="H78">
        <v>2</v>
      </c>
      <c r="I78">
        <v>5</v>
      </c>
      <c r="J78">
        <v>5</v>
      </c>
      <c r="K78">
        <v>0</v>
      </c>
      <c r="L78">
        <v>2</v>
      </c>
    </row>
    <row r="79" spans="1:61" x14ac:dyDescent="0.25">
      <c r="A79" t="s">
        <v>11</v>
      </c>
      <c r="B79" s="1">
        <v>40</v>
      </c>
      <c r="C79">
        <v>0</v>
      </c>
      <c r="D79">
        <v>3</v>
      </c>
      <c r="E79">
        <v>3</v>
      </c>
      <c r="F79">
        <v>5</v>
      </c>
      <c r="G79">
        <v>4</v>
      </c>
      <c r="H79">
        <v>3</v>
      </c>
      <c r="I79">
        <v>4</v>
      </c>
      <c r="J79">
        <v>6</v>
      </c>
      <c r="K79">
        <v>10</v>
      </c>
      <c r="L79">
        <v>2</v>
      </c>
    </row>
    <row r="80" spans="1:61" x14ac:dyDescent="0.25">
      <c r="A80" t="s">
        <v>41</v>
      </c>
      <c r="B80" s="1">
        <v>68</v>
      </c>
      <c r="C80">
        <v>10</v>
      </c>
      <c r="D80">
        <v>10</v>
      </c>
      <c r="E80">
        <v>2</v>
      </c>
      <c r="F80">
        <v>8</v>
      </c>
      <c r="G80">
        <v>1</v>
      </c>
      <c r="H80">
        <v>3</v>
      </c>
      <c r="I80">
        <v>7</v>
      </c>
      <c r="J80">
        <v>10</v>
      </c>
      <c r="K80">
        <v>10</v>
      </c>
      <c r="L80">
        <v>7</v>
      </c>
    </row>
    <row r="81" spans="1:12" x14ac:dyDescent="0.25">
      <c r="A81" t="s">
        <v>15</v>
      </c>
      <c r="B81" s="1">
        <v>57</v>
      </c>
      <c r="C81">
        <v>2</v>
      </c>
      <c r="D81">
        <v>3</v>
      </c>
      <c r="E81">
        <v>9</v>
      </c>
      <c r="F81">
        <v>6</v>
      </c>
      <c r="G81">
        <v>6</v>
      </c>
      <c r="H81">
        <v>3</v>
      </c>
      <c r="I81">
        <v>7</v>
      </c>
      <c r="J81">
        <v>8</v>
      </c>
      <c r="K81">
        <v>6</v>
      </c>
      <c r="L81">
        <v>7</v>
      </c>
    </row>
    <row r="82" spans="1:12" x14ac:dyDescent="0.25">
      <c r="A82" t="s">
        <v>49</v>
      </c>
      <c r="B82" s="1">
        <v>56</v>
      </c>
      <c r="C82">
        <v>5</v>
      </c>
      <c r="D82">
        <v>5</v>
      </c>
      <c r="E82">
        <v>2</v>
      </c>
      <c r="F82">
        <v>6</v>
      </c>
      <c r="G82">
        <v>4</v>
      </c>
      <c r="H82">
        <v>3</v>
      </c>
      <c r="I82">
        <v>10</v>
      </c>
      <c r="J82">
        <v>8</v>
      </c>
      <c r="K82">
        <v>10</v>
      </c>
      <c r="L82">
        <v>3</v>
      </c>
    </row>
    <row r="83" spans="1:12" x14ac:dyDescent="0.25">
      <c r="A83" t="s">
        <v>4</v>
      </c>
      <c r="B83" s="1">
        <v>56</v>
      </c>
      <c r="C83">
        <v>2</v>
      </c>
      <c r="D83">
        <v>6</v>
      </c>
      <c r="E83">
        <v>1</v>
      </c>
      <c r="F83">
        <v>10</v>
      </c>
      <c r="G83">
        <v>6</v>
      </c>
      <c r="H83">
        <v>2</v>
      </c>
      <c r="I83">
        <v>10</v>
      </c>
      <c r="J83">
        <v>10</v>
      </c>
      <c r="K83">
        <v>2</v>
      </c>
      <c r="L83">
        <v>7</v>
      </c>
    </row>
    <row r="84" spans="1:12" x14ac:dyDescent="0.25">
      <c r="A84" t="s">
        <v>44</v>
      </c>
      <c r="B84" s="1">
        <v>41</v>
      </c>
      <c r="C84">
        <v>2</v>
      </c>
      <c r="D84">
        <v>0</v>
      </c>
      <c r="E84">
        <v>5</v>
      </c>
      <c r="F84">
        <v>10</v>
      </c>
      <c r="G84">
        <v>3</v>
      </c>
      <c r="H84">
        <v>5</v>
      </c>
      <c r="I84">
        <v>0</v>
      </c>
      <c r="J84">
        <v>7</v>
      </c>
      <c r="K84">
        <v>5</v>
      </c>
      <c r="L84">
        <v>4</v>
      </c>
    </row>
    <row r="85" spans="1:12" x14ac:dyDescent="0.25">
      <c r="A85" t="s">
        <v>57</v>
      </c>
      <c r="B85" s="1">
        <v>51</v>
      </c>
      <c r="C85">
        <v>5</v>
      </c>
      <c r="D85">
        <v>7</v>
      </c>
      <c r="E85">
        <v>0</v>
      </c>
      <c r="F85">
        <v>10</v>
      </c>
      <c r="G85">
        <v>5</v>
      </c>
      <c r="H85">
        <v>2</v>
      </c>
      <c r="I85">
        <v>8</v>
      </c>
      <c r="J85">
        <v>10</v>
      </c>
      <c r="K85">
        <v>0</v>
      </c>
      <c r="L85">
        <v>4</v>
      </c>
    </row>
    <row r="86" spans="1:12" x14ac:dyDescent="0.25">
      <c r="A86" t="s">
        <v>47</v>
      </c>
      <c r="B86" s="1">
        <v>55</v>
      </c>
      <c r="C86">
        <v>0</v>
      </c>
      <c r="D86">
        <v>5</v>
      </c>
      <c r="E86">
        <v>9</v>
      </c>
      <c r="F86">
        <v>8</v>
      </c>
      <c r="G86">
        <v>3</v>
      </c>
      <c r="H86">
        <v>3</v>
      </c>
      <c r="I86">
        <v>9</v>
      </c>
      <c r="J86">
        <v>8</v>
      </c>
      <c r="K86">
        <v>6</v>
      </c>
      <c r="L86">
        <v>4</v>
      </c>
    </row>
    <row r="87" spans="1:12" x14ac:dyDescent="0.25">
      <c r="A87" t="s">
        <v>19</v>
      </c>
      <c r="B87" s="1">
        <v>30</v>
      </c>
      <c r="C87">
        <v>0</v>
      </c>
      <c r="D87">
        <v>4</v>
      </c>
      <c r="E87">
        <v>0</v>
      </c>
      <c r="F87">
        <v>6</v>
      </c>
      <c r="G87">
        <v>6</v>
      </c>
      <c r="H87">
        <v>5</v>
      </c>
      <c r="I87">
        <v>2</v>
      </c>
      <c r="J87">
        <v>0</v>
      </c>
      <c r="K87">
        <v>6</v>
      </c>
      <c r="L87">
        <v>1</v>
      </c>
    </row>
    <row r="88" spans="1:12" x14ac:dyDescent="0.25">
      <c r="A88" t="s">
        <v>32</v>
      </c>
      <c r="B88" s="1">
        <v>43</v>
      </c>
      <c r="C88">
        <v>1</v>
      </c>
      <c r="D88">
        <v>3</v>
      </c>
      <c r="E88">
        <v>5</v>
      </c>
      <c r="F88">
        <v>8</v>
      </c>
      <c r="G88">
        <v>1</v>
      </c>
      <c r="H88">
        <v>3</v>
      </c>
      <c r="I88">
        <v>8</v>
      </c>
      <c r="J88">
        <v>6</v>
      </c>
      <c r="K88">
        <v>6</v>
      </c>
      <c r="L88">
        <v>2</v>
      </c>
    </row>
    <row r="89" spans="1:12" x14ac:dyDescent="0.25">
      <c r="A89" t="s">
        <v>52</v>
      </c>
      <c r="B89" s="1">
        <v>61</v>
      </c>
      <c r="C89">
        <v>8</v>
      </c>
      <c r="D89">
        <v>8</v>
      </c>
      <c r="E89">
        <v>7</v>
      </c>
      <c r="F89">
        <v>10</v>
      </c>
      <c r="G89">
        <v>3</v>
      </c>
      <c r="H89">
        <v>1</v>
      </c>
      <c r="I89">
        <v>0</v>
      </c>
      <c r="J89">
        <v>7</v>
      </c>
      <c r="K89">
        <v>7</v>
      </c>
      <c r="L89">
        <v>10</v>
      </c>
    </row>
    <row r="90" spans="1:12" x14ac:dyDescent="0.25">
      <c r="A90" t="s">
        <v>28</v>
      </c>
      <c r="B90" s="1">
        <v>81</v>
      </c>
      <c r="C90">
        <v>4</v>
      </c>
      <c r="D90">
        <v>3</v>
      </c>
      <c r="E90">
        <v>10</v>
      </c>
      <c r="F90">
        <v>10</v>
      </c>
      <c r="G90">
        <v>10</v>
      </c>
      <c r="H90">
        <v>6</v>
      </c>
      <c r="I90">
        <v>10</v>
      </c>
      <c r="J90">
        <v>8</v>
      </c>
      <c r="K90">
        <v>10</v>
      </c>
      <c r="L90">
        <v>10</v>
      </c>
    </row>
    <row r="91" spans="1:12" x14ac:dyDescent="0.25">
      <c r="A91" t="s">
        <v>42</v>
      </c>
      <c r="B91" s="1">
        <v>68</v>
      </c>
      <c r="C91">
        <v>9</v>
      </c>
      <c r="D91">
        <v>9</v>
      </c>
      <c r="E91">
        <v>4</v>
      </c>
      <c r="F91">
        <v>9</v>
      </c>
      <c r="G91">
        <v>8</v>
      </c>
      <c r="H91">
        <v>9</v>
      </c>
      <c r="I91">
        <v>3</v>
      </c>
      <c r="J91">
        <v>4</v>
      </c>
      <c r="K91">
        <v>6</v>
      </c>
      <c r="L91">
        <v>7</v>
      </c>
    </row>
    <row r="92" spans="1:12" x14ac:dyDescent="0.25">
      <c r="A92" t="s">
        <v>48</v>
      </c>
      <c r="B92" s="1">
        <v>41</v>
      </c>
      <c r="C92">
        <v>0</v>
      </c>
      <c r="D92">
        <v>6</v>
      </c>
      <c r="E92">
        <v>10</v>
      </c>
      <c r="F92">
        <v>2</v>
      </c>
      <c r="G92">
        <v>4</v>
      </c>
      <c r="H92">
        <v>1</v>
      </c>
      <c r="I92">
        <v>1</v>
      </c>
      <c r="J92">
        <v>7</v>
      </c>
      <c r="K92">
        <v>5</v>
      </c>
      <c r="L92">
        <v>5</v>
      </c>
    </row>
    <row r="93" spans="1:12" x14ac:dyDescent="0.25">
      <c r="A93" t="s">
        <v>31</v>
      </c>
      <c r="B93" s="1">
        <v>62</v>
      </c>
      <c r="C93">
        <v>4</v>
      </c>
      <c r="D93">
        <v>10</v>
      </c>
      <c r="E93">
        <v>10</v>
      </c>
      <c r="F93">
        <v>4</v>
      </c>
      <c r="G93">
        <v>6</v>
      </c>
      <c r="H93">
        <v>2</v>
      </c>
      <c r="I93">
        <v>0</v>
      </c>
      <c r="J93">
        <v>8</v>
      </c>
      <c r="K93">
        <v>8</v>
      </c>
      <c r="L93">
        <v>10</v>
      </c>
    </row>
    <row r="94" spans="1:12" x14ac:dyDescent="0.25">
      <c r="A94" t="s">
        <v>3</v>
      </c>
      <c r="B94" s="1">
        <v>32</v>
      </c>
      <c r="C94">
        <v>2</v>
      </c>
      <c r="D94">
        <v>0</v>
      </c>
      <c r="E94">
        <v>0</v>
      </c>
      <c r="F94">
        <v>4</v>
      </c>
      <c r="G94">
        <v>4</v>
      </c>
      <c r="H94">
        <v>3</v>
      </c>
      <c r="I94">
        <v>0</v>
      </c>
      <c r="J94">
        <v>8</v>
      </c>
      <c r="K94">
        <v>6</v>
      </c>
      <c r="L94">
        <v>5</v>
      </c>
    </row>
    <row r="95" spans="1:12" x14ac:dyDescent="0.25">
      <c r="A95" t="s">
        <v>9</v>
      </c>
      <c r="B95" s="1">
        <v>58</v>
      </c>
      <c r="C95">
        <v>5</v>
      </c>
      <c r="D95">
        <v>7</v>
      </c>
      <c r="E95">
        <v>7</v>
      </c>
      <c r="F95">
        <v>4</v>
      </c>
      <c r="G95">
        <v>7</v>
      </c>
      <c r="H95">
        <v>1</v>
      </c>
      <c r="I95">
        <v>1</v>
      </c>
      <c r="J95">
        <v>8</v>
      </c>
      <c r="K95">
        <v>8</v>
      </c>
      <c r="L95">
        <v>10</v>
      </c>
    </row>
    <row r="96" spans="1:12" x14ac:dyDescent="0.25">
      <c r="A96" t="s">
        <v>51</v>
      </c>
      <c r="B96" s="1">
        <v>57</v>
      </c>
      <c r="C96">
        <v>6</v>
      </c>
      <c r="D96">
        <v>10</v>
      </c>
      <c r="E96">
        <v>1</v>
      </c>
      <c r="F96">
        <v>6</v>
      </c>
      <c r="G96">
        <v>7</v>
      </c>
      <c r="H96">
        <v>6</v>
      </c>
      <c r="I96">
        <v>5</v>
      </c>
      <c r="J96">
        <v>10</v>
      </c>
      <c r="K96">
        <v>2</v>
      </c>
      <c r="L96">
        <v>4</v>
      </c>
    </row>
    <row r="97" spans="1:12" x14ac:dyDescent="0.25">
      <c r="A97" t="s">
        <v>43</v>
      </c>
      <c r="B97" s="1">
        <v>60</v>
      </c>
      <c r="C97">
        <v>1</v>
      </c>
      <c r="D97">
        <v>5</v>
      </c>
      <c r="E97">
        <v>8</v>
      </c>
      <c r="F97">
        <v>9</v>
      </c>
      <c r="G97">
        <v>6</v>
      </c>
      <c r="H97">
        <v>3</v>
      </c>
      <c r="I97">
        <v>6</v>
      </c>
      <c r="J97">
        <v>8</v>
      </c>
      <c r="K97">
        <v>6</v>
      </c>
      <c r="L97">
        <v>8</v>
      </c>
    </row>
    <row r="98" spans="1:12" x14ac:dyDescent="0.25">
      <c r="A98" t="s">
        <v>36</v>
      </c>
      <c r="B98" s="1">
        <v>80</v>
      </c>
      <c r="C98">
        <v>9</v>
      </c>
      <c r="D98">
        <v>10</v>
      </c>
      <c r="E98">
        <v>7</v>
      </c>
      <c r="F98">
        <v>10</v>
      </c>
      <c r="G98">
        <v>5</v>
      </c>
      <c r="H98">
        <v>9</v>
      </c>
      <c r="I98">
        <v>10</v>
      </c>
      <c r="J98">
        <v>10</v>
      </c>
      <c r="K98">
        <v>0</v>
      </c>
      <c r="L98">
        <v>10</v>
      </c>
    </row>
    <row r="99" spans="1:12" x14ac:dyDescent="0.25">
      <c r="A99" t="s">
        <v>30</v>
      </c>
      <c r="B99" s="1">
        <v>62</v>
      </c>
      <c r="C99">
        <v>4</v>
      </c>
      <c r="D99">
        <v>9</v>
      </c>
      <c r="E99">
        <v>1</v>
      </c>
      <c r="F99">
        <v>7</v>
      </c>
      <c r="G99">
        <v>6</v>
      </c>
      <c r="H99">
        <v>7</v>
      </c>
      <c r="I99">
        <v>10</v>
      </c>
      <c r="J99">
        <v>6</v>
      </c>
      <c r="K99">
        <v>9</v>
      </c>
      <c r="L99">
        <v>3</v>
      </c>
    </row>
    <row r="100" spans="1:12" x14ac:dyDescent="0.25">
      <c r="A100" t="s">
        <v>35</v>
      </c>
      <c r="B100" s="1">
        <v>59</v>
      </c>
      <c r="C100">
        <v>5</v>
      </c>
      <c r="D100">
        <v>6</v>
      </c>
      <c r="E100">
        <v>7</v>
      </c>
      <c r="F100">
        <v>2</v>
      </c>
      <c r="G100">
        <v>6</v>
      </c>
      <c r="H100">
        <v>5</v>
      </c>
      <c r="I100">
        <v>0</v>
      </c>
      <c r="J100">
        <v>8</v>
      </c>
      <c r="K100">
        <v>10</v>
      </c>
      <c r="L100">
        <v>10</v>
      </c>
    </row>
    <row r="101" spans="1:12" x14ac:dyDescent="0.25">
      <c r="A101" t="s">
        <v>40</v>
      </c>
      <c r="B101" s="1">
        <v>78</v>
      </c>
      <c r="C101">
        <v>10</v>
      </c>
      <c r="D101">
        <v>8</v>
      </c>
      <c r="E101">
        <v>8</v>
      </c>
      <c r="F101">
        <v>10</v>
      </c>
      <c r="G101">
        <v>6</v>
      </c>
      <c r="H101">
        <v>5</v>
      </c>
      <c r="I101">
        <v>1</v>
      </c>
      <c r="J101">
        <v>10</v>
      </c>
      <c r="K101">
        <v>10</v>
      </c>
      <c r="L101">
        <v>10</v>
      </c>
    </row>
    <row r="102" spans="1:12" x14ac:dyDescent="0.25">
      <c r="A102" t="s">
        <v>16</v>
      </c>
      <c r="B102" s="1">
        <v>53</v>
      </c>
      <c r="C102">
        <v>1</v>
      </c>
      <c r="D102">
        <v>3</v>
      </c>
      <c r="E102">
        <v>7</v>
      </c>
      <c r="F102">
        <v>9</v>
      </c>
      <c r="G102">
        <v>1</v>
      </c>
      <c r="H102">
        <v>3</v>
      </c>
      <c r="I102">
        <v>10</v>
      </c>
      <c r="J102">
        <v>4</v>
      </c>
      <c r="K102">
        <v>6</v>
      </c>
      <c r="L102">
        <v>9</v>
      </c>
    </row>
    <row r="103" spans="1:12" x14ac:dyDescent="0.25">
      <c r="A103" t="s">
        <v>39</v>
      </c>
      <c r="B103" s="1">
        <v>71</v>
      </c>
      <c r="C103">
        <v>2</v>
      </c>
      <c r="D103">
        <v>10</v>
      </c>
      <c r="E103">
        <v>7</v>
      </c>
      <c r="F103">
        <v>10</v>
      </c>
      <c r="G103">
        <v>8</v>
      </c>
      <c r="H103">
        <v>5</v>
      </c>
      <c r="I103">
        <v>1</v>
      </c>
      <c r="J103">
        <v>10</v>
      </c>
      <c r="K103">
        <v>8</v>
      </c>
      <c r="L103">
        <v>10</v>
      </c>
    </row>
    <row r="104" spans="1:12" x14ac:dyDescent="0.25">
      <c r="A104" t="s">
        <v>23</v>
      </c>
      <c r="B104" s="1">
        <v>72</v>
      </c>
      <c r="C104">
        <v>5</v>
      </c>
      <c r="D104">
        <v>6</v>
      </c>
      <c r="E104">
        <v>7</v>
      </c>
      <c r="F104">
        <v>10</v>
      </c>
      <c r="G104">
        <v>7</v>
      </c>
      <c r="H104">
        <v>3</v>
      </c>
      <c r="I104">
        <v>4</v>
      </c>
      <c r="J104">
        <v>10</v>
      </c>
      <c r="K104">
        <v>10</v>
      </c>
      <c r="L104">
        <v>10</v>
      </c>
    </row>
    <row r="105" spans="1:12" x14ac:dyDescent="0.25">
      <c r="A105" t="s">
        <v>5</v>
      </c>
      <c r="B105" s="1">
        <v>54</v>
      </c>
      <c r="C105">
        <v>4</v>
      </c>
      <c r="D105">
        <v>7</v>
      </c>
      <c r="E105">
        <v>5</v>
      </c>
      <c r="F105">
        <v>4</v>
      </c>
      <c r="G105">
        <v>4</v>
      </c>
      <c r="H105">
        <v>9</v>
      </c>
      <c r="I105">
        <v>10</v>
      </c>
      <c r="J105">
        <v>5</v>
      </c>
      <c r="K105">
        <v>4</v>
      </c>
      <c r="L105">
        <v>2</v>
      </c>
    </row>
    <row r="106" spans="1:12" x14ac:dyDescent="0.25">
      <c r="A106" t="s">
        <v>27</v>
      </c>
      <c r="B106" s="1">
        <v>66</v>
      </c>
      <c r="C106">
        <v>6</v>
      </c>
      <c r="D106">
        <v>10</v>
      </c>
      <c r="E106">
        <v>0</v>
      </c>
      <c r="F106">
        <v>8</v>
      </c>
      <c r="G106">
        <v>8</v>
      </c>
      <c r="H106">
        <v>3</v>
      </c>
      <c r="I106">
        <v>10</v>
      </c>
      <c r="J106">
        <v>10</v>
      </c>
      <c r="K106">
        <v>5</v>
      </c>
      <c r="L106">
        <v>6</v>
      </c>
    </row>
    <row r="107" spans="1:12" x14ac:dyDescent="0.25">
      <c r="A107" t="s">
        <v>7</v>
      </c>
      <c r="B107" s="1">
        <v>52</v>
      </c>
      <c r="C107">
        <v>3</v>
      </c>
      <c r="D107">
        <v>8</v>
      </c>
      <c r="E107">
        <v>9</v>
      </c>
      <c r="F107">
        <v>0</v>
      </c>
      <c r="G107">
        <v>4</v>
      </c>
      <c r="H107">
        <v>3</v>
      </c>
      <c r="I107">
        <v>1</v>
      </c>
      <c r="J107">
        <v>10</v>
      </c>
      <c r="K107">
        <v>9</v>
      </c>
      <c r="L107">
        <v>5</v>
      </c>
    </row>
    <row r="108" spans="1:12" x14ac:dyDescent="0.25">
      <c r="A108" t="s">
        <v>29</v>
      </c>
      <c r="B108" s="1">
        <v>60</v>
      </c>
      <c r="C108">
        <v>6</v>
      </c>
      <c r="D108">
        <v>8</v>
      </c>
      <c r="E108">
        <v>5</v>
      </c>
      <c r="F108">
        <v>0</v>
      </c>
      <c r="G108">
        <v>7</v>
      </c>
      <c r="H108">
        <v>7</v>
      </c>
      <c r="I108">
        <v>0</v>
      </c>
      <c r="J108">
        <v>10</v>
      </c>
      <c r="K108">
        <v>8</v>
      </c>
      <c r="L108">
        <v>9</v>
      </c>
    </row>
    <row r="109" spans="1:12" x14ac:dyDescent="0.25">
      <c r="A109" t="s">
        <v>6</v>
      </c>
      <c r="B109" s="1">
        <v>76</v>
      </c>
      <c r="C109">
        <v>9</v>
      </c>
      <c r="D109">
        <v>9</v>
      </c>
      <c r="E109">
        <v>1</v>
      </c>
      <c r="F109">
        <v>6</v>
      </c>
      <c r="G109">
        <v>4</v>
      </c>
      <c r="H109">
        <v>9</v>
      </c>
      <c r="I109">
        <v>10</v>
      </c>
      <c r="J109">
        <v>10</v>
      </c>
      <c r="K109">
        <v>9</v>
      </c>
      <c r="L109">
        <v>9</v>
      </c>
    </row>
    <row r="110" spans="1:12" x14ac:dyDescent="0.25">
      <c r="A110" t="s">
        <v>50</v>
      </c>
      <c r="B110" s="1">
        <v>47</v>
      </c>
      <c r="C110">
        <v>0</v>
      </c>
      <c r="D110">
        <v>7</v>
      </c>
      <c r="E110">
        <v>0</v>
      </c>
      <c r="F110">
        <v>6</v>
      </c>
      <c r="G110">
        <v>4</v>
      </c>
      <c r="H110">
        <v>2</v>
      </c>
      <c r="I110">
        <v>10</v>
      </c>
      <c r="J110">
        <v>10</v>
      </c>
      <c r="K110">
        <v>0</v>
      </c>
      <c r="L110">
        <v>8</v>
      </c>
    </row>
    <row r="111" spans="1:12" x14ac:dyDescent="0.25">
      <c r="A111" t="s">
        <v>25</v>
      </c>
      <c r="B111" s="1">
        <v>50</v>
      </c>
      <c r="C111">
        <v>4</v>
      </c>
      <c r="D111">
        <v>8</v>
      </c>
      <c r="E111">
        <v>1</v>
      </c>
      <c r="F111">
        <v>10</v>
      </c>
      <c r="G111">
        <v>7</v>
      </c>
      <c r="H111">
        <v>7</v>
      </c>
      <c r="I111">
        <v>3</v>
      </c>
      <c r="J111">
        <v>8</v>
      </c>
      <c r="K111">
        <v>0</v>
      </c>
      <c r="L111">
        <v>2</v>
      </c>
    </row>
    <row r="112" spans="1:12" x14ac:dyDescent="0.25">
      <c r="A112" t="s">
        <v>22</v>
      </c>
      <c r="B112" s="1">
        <v>42</v>
      </c>
      <c r="C112">
        <v>0</v>
      </c>
      <c r="D112">
        <v>3</v>
      </c>
      <c r="E112">
        <v>3</v>
      </c>
      <c r="F112">
        <v>10</v>
      </c>
      <c r="G112">
        <v>3</v>
      </c>
      <c r="H112">
        <v>5</v>
      </c>
      <c r="I112">
        <v>0</v>
      </c>
      <c r="J112">
        <v>8</v>
      </c>
      <c r="K112">
        <v>10</v>
      </c>
      <c r="L112">
        <v>0</v>
      </c>
    </row>
    <row r="113" spans="1:12" x14ac:dyDescent="0.25">
      <c r="A113" t="s">
        <v>46</v>
      </c>
      <c r="B113" s="1">
        <v>89</v>
      </c>
      <c r="C113">
        <v>10</v>
      </c>
      <c r="D113">
        <v>10</v>
      </c>
      <c r="E113">
        <v>6</v>
      </c>
      <c r="F113">
        <v>6</v>
      </c>
      <c r="G113">
        <v>8</v>
      </c>
      <c r="H113">
        <v>9</v>
      </c>
      <c r="I113">
        <v>10</v>
      </c>
      <c r="J113">
        <v>10</v>
      </c>
      <c r="K113">
        <v>10</v>
      </c>
      <c r="L113">
        <v>10</v>
      </c>
    </row>
    <row r="114" spans="1:12" x14ac:dyDescent="0.25">
      <c r="A114" t="s">
        <v>24</v>
      </c>
      <c r="B114" s="1">
        <v>47</v>
      </c>
      <c r="C114">
        <v>0</v>
      </c>
      <c r="D114">
        <v>3</v>
      </c>
      <c r="E114">
        <v>5</v>
      </c>
      <c r="F114">
        <v>9</v>
      </c>
      <c r="G114">
        <v>1</v>
      </c>
      <c r="H114">
        <v>2</v>
      </c>
      <c r="I114">
        <v>5</v>
      </c>
      <c r="J114">
        <v>8</v>
      </c>
      <c r="K114">
        <v>6</v>
      </c>
      <c r="L114">
        <v>8</v>
      </c>
    </row>
    <row r="115" spans="1:12" x14ac:dyDescent="0.25">
      <c r="A115" t="s">
        <v>14</v>
      </c>
      <c r="B115" s="1">
        <v>18</v>
      </c>
      <c r="C115">
        <v>2</v>
      </c>
      <c r="D115">
        <v>0</v>
      </c>
      <c r="E115">
        <v>0</v>
      </c>
      <c r="F115">
        <v>6</v>
      </c>
      <c r="G115">
        <v>1</v>
      </c>
      <c r="H115">
        <v>4</v>
      </c>
      <c r="I115">
        <v>0</v>
      </c>
      <c r="J115">
        <v>5</v>
      </c>
      <c r="K115">
        <v>0</v>
      </c>
      <c r="L115">
        <v>0</v>
      </c>
    </row>
    <row r="116" spans="1:12" x14ac:dyDescent="0.25">
      <c r="A116" t="s">
        <v>26</v>
      </c>
      <c r="B116" s="1">
        <v>60</v>
      </c>
      <c r="C116">
        <v>9</v>
      </c>
      <c r="D116">
        <v>3</v>
      </c>
      <c r="E116">
        <v>5</v>
      </c>
      <c r="F116">
        <v>9</v>
      </c>
      <c r="G116">
        <v>5</v>
      </c>
      <c r="H116">
        <v>3</v>
      </c>
      <c r="I116">
        <v>6</v>
      </c>
      <c r="J116">
        <v>5</v>
      </c>
      <c r="K116">
        <v>6</v>
      </c>
      <c r="L116">
        <v>9</v>
      </c>
    </row>
    <row r="117" spans="1:12" x14ac:dyDescent="0.25">
      <c r="A117" t="s">
        <v>34</v>
      </c>
      <c r="B117" s="1">
        <v>65</v>
      </c>
      <c r="C117">
        <v>9</v>
      </c>
      <c r="D117">
        <v>5</v>
      </c>
      <c r="E117">
        <v>4</v>
      </c>
      <c r="F117">
        <v>7</v>
      </c>
      <c r="G117">
        <v>0</v>
      </c>
      <c r="H117">
        <v>5</v>
      </c>
      <c r="I117">
        <v>6</v>
      </c>
      <c r="J117">
        <v>10</v>
      </c>
      <c r="K117">
        <v>10</v>
      </c>
      <c r="L117">
        <v>9</v>
      </c>
    </row>
    <row r="118" spans="1:12" x14ac:dyDescent="0.25">
      <c r="A118" t="s">
        <v>12</v>
      </c>
      <c r="B118" s="1">
        <v>52</v>
      </c>
      <c r="C118">
        <v>5</v>
      </c>
      <c r="D118">
        <v>7</v>
      </c>
      <c r="E118">
        <v>0</v>
      </c>
      <c r="F118">
        <v>10</v>
      </c>
      <c r="G118">
        <v>4</v>
      </c>
      <c r="H118">
        <v>3</v>
      </c>
      <c r="I118">
        <v>5</v>
      </c>
      <c r="J118">
        <v>10</v>
      </c>
      <c r="K118">
        <v>2</v>
      </c>
      <c r="L118">
        <v>6</v>
      </c>
    </row>
    <row r="120" spans="1:12" x14ac:dyDescent="0.25">
      <c r="A120" s="32" t="s">
        <v>202</v>
      </c>
      <c r="B120" s="33">
        <f>AVERAGE(B70:B118)</f>
        <v>55.489795918367349</v>
      </c>
    </row>
    <row r="121" spans="1:12" x14ac:dyDescent="0.25">
      <c r="A121" s="32" t="s">
        <v>208</v>
      </c>
      <c r="B121" s="31">
        <f>STDEV(B70:B118)</f>
        <v>13.743365746454399</v>
      </c>
    </row>
    <row r="122" spans="1:12" x14ac:dyDescent="0.25">
      <c r="A122" s="32" t="s">
        <v>209</v>
      </c>
      <c r="B122" s="31">
        <f>MEDIAN(B70:B118)</f>
        <v>56</v>
      </c>
    </row>
    <row r="123" spans="1:12" x14ac:dyDescent="0.25">
      <c r="A123" s="32" t="s">
        <v>210</v>
      </c>
      <c r="B123" s="1">
        <f>COUNT(B70:B118)</f>
        <v>49</v>
      </c>
    </row>
    <row r="124" spans="1:12" x14ac:dyDescent="0.25">
      <c r="A124" s="32" t="s">
        <v>211</v>
      </c>
      <c r="B124">
        <f>MAX(B70:B118)</f>
        <v>89</v>
      </c>
    </row>
    <row r="125" spans="1:12" x14ac:dyDescent="0.25">
      <c r="A125" s="32" t="s">
        <v>212</v>
      </c>
      <c r="B125" s="1">
        <f>MIN(B70:B118)</f>
        <v>18</v>
      </c>
    </row>
    <row r="128" spans="1:12" x14ac:dyDescent="0.25">
      <c r="A128" s="32" t="s">
        <v>213</v>
      </c>
      <c r="B128" s="34">
        <f>1.5*$B$121+$B$120</f>
        <v>76.104844538048951</v>
      </c>
    </row>
    <row r="129" spans="1:2" x14ac:dyDescent="0.25">
      <c r="A129" s="32" t="s">
        <v>214</v>
      </c>
      <c r="B129" s="34">
        <f>0.5*$B$121+$B$120</f>
        <v>62.36147879159455</v>
      </c>
    </row>
    <row r="130" spans="1:2" x14ac:dyDescent="0.25">
      <c r="A130" s="32" t="s">
        <v>217</v>
      </c>
      <c r="B130" s="34">
        <f>-0.5*$B$121+$B$120</f>
        <v>48.618113045140149</v>
      </c>
    </row>
    <row r="131" spans="1:2" x14ac:dyDescent="0.25">
      <c r="A131" s="32" t="s">
        <v>216</v>
      </c>
      <c r="B131" s="34">
        <f>-1.5*$B$121+$B$120</f>
        <v>34.874747298685747</v>
      </c>
    </row>
    <row r="132" spans="1:2" x14ac:dyDescent="0.25">
      <c r="A132" s="32" t="s">
        <v>215</v>
      </c>
      <c r="B132" s="34" t="s">
        <v>218</v>
      </c>
    </row>
  </sheetData>
  <sortState xmlns:xlrd2="http://schemas.microsoft.com/office/spreadsheetml/2017/richdata2" ref="A70:L128">
    <sortCondition ref="A70:A128"/>
  </sortState>
  <mergeCells count="11">
    <mergeCell ref="M2:S2"/>
    <mergeCell ref="M1:Y1"/>
    <mergeCell ref="T2:Z2"/>
    <mergeCell ref="AA2:AH2"/>
    <mergeCell ref="BO2:BQ2"/>
    <mergeCell ref="BY2:CE2"/>
    <mergeCell ref="BR2:BX2"/>
    <mergeCell ref="AL2:AO2"/>
    <mergeCell ref="AR2:AY2"/>
    <mergeCell ref="AZ2:BF2"/>
    <mergeCell ref="BG2:BN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 h</dc:creator>
  <cp:lastModifiedBy>Mitch Halloran</cp:lastModifiedBy>
  <dcterms:created xsi:type="dcterms:W3CDTF">2015-06-05T18:17:20Z</dcterms:created>
  <dcterms:modified xsi:type="dcterms:W3CDTF">2025-12-09T18:29:47Z</dcterms:modified>
</cp:coreProperties>
</file>