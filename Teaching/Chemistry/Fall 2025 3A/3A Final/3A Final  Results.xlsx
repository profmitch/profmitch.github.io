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Mavigozler GitHub\mavigozler.github.io\Teaching\Chemistry\Fall 2025 3A\3A Final\"/>
    </mc:Choice>
  </mc:AlternateContent>
  <xr:revisionPtr revIDLastSave="0" documentId="13_ncr:1_{070F65D5-5E17-4C5C-A3E7-069B528A5616}" xr6:coauthVersionLast="47" xr6:coauthVersionMax="47" xr10:uidLastSave="{00000000-0000-0000-0000-000000000000}"/>
  <bookViews>
    <workbookView xWindow="4935" yWindow="510" windowWidth="29475" windowHeight="17820" activeTab="3" xr2:uid="{C780AF10-CB7F-43A8-9F66-4B7761A3F48F}"/>
  </bookViews>
  <sheets>
    <sheet name="Primary Data" sheetId="1" r:id="rId1"/>
    <sheet name="Course Grades" sheetId="4" r:id="rId2"/>
    <sheet name="Lab Practical Score" sheetId="5" r:id="rId3"/>
    <sheet name="To Catherine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8" i="2"/>
  <c r="I49" i="2"/>
  <c r="I2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2" i="2"/>
  <c r="G48" i="2"/>
  <c r="G49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I47" i="2" s="1"/>
  <c r="G2" i="2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J8" i="1"/>
  <c r="H8" i="1"/>
  <c r="I5" i="1"/>
  <c r="G5" i="1"/>
  <c r="I8" i="1" a="1"/>
  <c r="I8" i="1" s="1"/>
  <c r="G8" i="1" a="1"/>
  <c r="G8" i="1" s="1"/>
  <c r="F43" i="1"/>
  <c r="F14" i="1"/>
  <c r="F28" i="1"/>
  <c r="F24" i="1"/>
  <c r="F23" i="1"/>
  <c r="F40" i="1"/>
  <c r="F47" i="1"/>
  <c r="F54" i="1"/>
  <c r="E43" i="1" a="1"/>
  <c r="E43" i="1" s="1"/>
  <c r="E14" i="1" a="1"/>
  <c r="E14" i="1" s="1"/>
  <c r="E22" i="1" a="1"/>
  <c r="E22" i="1" s="1"/>
  <c r="F22" i="1" s="1"/>
  <c r="E9" i="1" a="1"/>
  <c r="E9" i="1" s="1"/>
  <c r="F9" i="1" s="1"/>
  <c r="E46" i="1" a="1"/>
  <c r="E46" i="1" s="1"/>
  <c r="F46" i="1" s="1"/>
  <c r="E44" i="1" a="1"/>
  <c r="E44" i="1" s="1"/>
  <c r="F44" i="1" s="1"/>
  <c r="E49" i="1" a="1"/>
  <c r="E49" i="1" s="1"/>
  <c r="F49" i="1" s="1"/>
  <c r="E45" i="1" a="1"/>
  <c r="E45" i="1" s="1"/>
  <c r="F45" i="1" s="1"/>
  <c r="E25" i="1" a="1"/>
  <c r="E25" i="1" s="1"/>
  <c r="F25" i="1" s="1"/>
  <c r="E52" i="1" a="1"/>
  <c r="E52" i="1" s="1"/>
  <c r="F52" i="1" s="1"/>
  <c r="E35" i="1" a="1"/>
  <c r="E35" i="1" s="1"/>
  <c r="F35" i="1" s="1"/>
  <c r="E11" i="1" a="1"/>
  <c r="E11" i="1" s="1"/>
  <c r="F11" i="1" s="1"/>
  <c r="E27" i="1" a="1"/>
  <c r="E27" i="1" s="1"/>
  <c r="F27" i="1" s="1"/>
  <c r="E26" i="1" a="1"/>
  <c r="E26" i="1" s="1"/>
  <c r="F26" i="1" s="1"/>
  <c r="E34" i="1" a="1"/>
  <c r="E34" i="1" s="1"/>
  <c r="F34" i="1" s="1"/>
  <c r="E28" i="1" a="1"/>
  <c r="E28" i="1" s="1"/>
  <c r="E24" i="1" a="1"/>
  <c r="E24" i="1" s="1"/>
  <c r="E23" i="1" a="1"/>
  <c r="E23" i="1" s="1"/>
  <c r="E40" i="1" a="1"/>
  <c r="E40" i="1" s="1"/>
  <c r="E10" i="1" a="1"/>
  <c r="E10" i="1" s="1"/>
  <c r="F10" i="1" s="1"/>
  <c r="E51" i="1" a="1"/>
  <c r="E51" i="1" s="1"/>
  <c r="F51" i="1" s="1"/>
  <c r="E16" i="1" a="1"/>
  <c r="E16" i="1" s="1"/>
  <c r="F16" i="1" s="1"/>
  <c r="E50" i="1" a="1"/>
  <c r="E50" i="1" s="1"/>
  <c r="F50" i="1" s="1"/>
  <c r="E37" i="1" a="1"/>
  <c r="E37" i="1" s="1"/>
  <c r="F37" i="1" s="1"/>
  <c r="E55" i="1" a="1"/>
  <c r="E55" i="1" s="1"/>
  <c r="F55" i="1" s="1"/>
  <c r="E17" i="1" a="1"/>
  <c r="E17" i="1" s="1"/>
  <c r="F17" i="1" s="1"/>
  <c r="E53" i="1" a="1"/>
  <c r="E53" i="1" s="1"/>
  <c r="F53" i="1" s="1"/>
  <c r="E41" i="1" a="1"/>
  <c r="E41" i="1" s="1"/>
  <c r="F41" i="1" s="1"/>
  <c r="E30" i="1" a="1"/>
  <c r="E30" i="1" s="1"/>
  <c r="F30" i="1" s="1"/>
  <c r="E48" i="1" a="1"/>
  <c r="E48" i="1" s="1"/>
  <c r="F48" i="1" s="1"/>
  <c r="E8" i="1" a="1"/>
  <c r="E8" i="1" s="1"/>
  <c r="F8" i="1" s="1"/>
  <c r="E20" i="1" a="1"/>
  <c r="E20" i="1" s="1"/>
  <c r="F20" i="1" s="1"/>
  <c r="E47" i="1" a="1"/>
  <c r="E47" i="1" s="1"/>
  <c r="E54" i="1" a="1"/>
  <c r="E54" i="1" s="1"/>
  <c r="E12" i="1" a="1"/>
  <c r="E12" i="1" s="1"/>
  <c r="F12" i="1" s="1"/>
  <c r="E33" i="1" a="1"/>
  <c r="E33" i="1" s="1"/>
  <c r="F33" i="1" s="1"/>
  <c r="E13" i="1" a="1"/>
  <c r="E13" i="1" s="1"/>
  <c r="F13" i="1" s="1"/>
  <c r="E36" i="1" a="1"/>
  <c r="E36" i="1" s="1"/>
  <c r="F36" i="1" s="1"/>
  <c r="E38" i="1" a="1"/>
  <c r="E38" i="1" s="1"/>
  <c r="F38" i="1" s="1"/>
  <c r="E21" i="1" a="1"/>
  <c r="E21" i="1" s="1"/>
  <c r="F21" i="1" s="1"/>
  <c r="E39" i="1" a="1"/>
  <c r="E39" i="1" s="1"/>
  <c r="F39" i="1" s="1"/>
  <c r="E19" i="1" a="1"/>
  <c r="E19" i="1" s="1"/>
  <c r="F19" i="1" s="1"/>
  <c r="E32" i="1" a="1"/>
  <c r="E32" i="1" s="1"/>
  <c r="F32" i="1" s="1"/>
  <c r="E42" i="1" a="1"/>
  <c r="E42" i="1" s="1"/>
  <c r="F42" i="1" s="1"/>
  <c r="E18" i="1" a="1"/>
  <c r="E18" i="1" s="1"/>
  <c r="F18" i="1" s="1"/>
  <c r="E15" i="1" a="1"/>
  <c r="E15" i="1" s="1"/>
  <c r="F15" i="1" s="1"/>
  <c r="E29" i="1" a="1"/>
  <c r="E29" i="1" s="1"/>
  <c r="F29" i="1" s="1"/>
  <c r="E31" i="1" a="1"/>
  <c r="E31" i="1" s="1"/>
  <c r="F31" i="1" s="1"/>
  <c r="E63" i="1" l="1"/>
  <c r="E57" i="1"/>
  <c r="E58" i="1"/>
  <c r="E59" i="1"/>
  <c r="E60" i="1"/>
  <c r="E61" i="1"/>
  <c r="E6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<sst xmlns="http://schemas.openxmlformats.org/spreadsheetml/2006/main" count="3052" uniqueCount="214">
  <si>
    <t>ID1</t>
  </si>
  <si>
    <t>Student</t>
  </si>
  <si>
    <t>BLANK</t>
  </si>
  <si>
    <t>D</t>
  </si>
  <si>
    <t>C</t>
  </si>
  <si>
    <t>A</t>
  </si>
  <si>
    <t>B</t>
  </si>
  <si>
    <t>(B,D)</t>
  </si>
  <si>
    <t>(A,D)</t>
  </si>
  <si>
    <t>Q 1</t>
  </si>
  <si>
    <t>Q 2</t>
  </si>
  <si>
    <t>Q 3</t>
  </si>
  <si>
    <t>Q 4</t>
  </si>
  <si>
    <t>Q 5</t>
  </si>
  <si>
    <t>Q 6</t>
  </si>
  <si>
    <t>Q 7</t>
  </si>
  <si>
    <t>Q 8</t>
  </si>
  <si>
    <t>Q 9</t>
  </si>
  <si>
    <t>Q 10</t>
  </si>
  <si>
    <t>Q 11</t>
  </si>
  <si>
    <t>Q 12</t>
  </si>
  <si>
    <t>Q 13</t>
  </si>
  <si>
    <t>Q 14</t>
  </si>
  <si>
    <t>Q 15</t>
  </si>
  <si>
    <t>Q 16</t>
  </si>
  <si>
    <t>Q 17</t>
  </si>
  <si>
    <t>Q 18</t>
  </si>
  <si>
    <t>Q 19</t>
  </si>
  <si>
    <t>Q 20</t>
  </si>
  <si>
    <t>Q 21</t>
  </si>
  <si>
    <t>Q 22</t>
  </si>
  <si>
    <t>Q 23</t>
  </si>
  <si>
    <t>Q 24</t>
  </si>
  <si>
    <t>Q 25</t>
  </si>
  <si>
    <t>Q 26</t>
  </si>
  <si>
    <t>Q 27</t>
  </si>
  <si>
    <t>Q 28</t>
  </si>
  <si>
    <t>Q 29</t>
  </si>
  <si>
    <t>Q 30</t>
  </si>
  <si>
    <t>Q 31</t>
  </si>
  <si>
    <t>Q 32</t>
  </si>
  <si>
    <t>Q 33</t>
  </si>
  <si>
    <t>Q 34</t>
  </si>
  <si>
    <t>Q 35</t>
  </si>
  <si>
    <t>Q 36</t>
  </si>
  <si>
    <t>Q 37</t>
  </si>
  <si>
    <t>Q 38</t>
  </si>
  <si>
    <t>Q 39</t>
  </si>
  <si>
    <t>Q 40</t>
  </si>
  <si>
    <t>Q 41</t>
  </si>
  <si>
    <t>Q 42</t>
  </si>
  <si>
    <t>Q 43</t>
  </si>
  <si>
    <t>Q 44</t>
  </si>
  <si>
    <t>Q 45</t>
  </si>
  <si>
    <t>Q 46</t>
  </si>
  <si>
    <t>Q 47</t>
  </si>
  <si>
    <t>Q 48</t>
  </si>
  <si>
    <t>Q 49</t>
  </si>
  <si>
    <t>Q 50</t>
  </si>
  <si>
    <t>Correct</t>
  </si>
  <si>
    <t>KEY</t>
  </si>
  <si>
    <t>Marquez, Rocelia</t>
  </si>
  <si>
    <t>RMarquez33@MY.SCCCD.EDU</t>
  </si>
  <si>
    <t>Garcia, Sabrina</t>
  </si>
  <si>
    <t>SRGarcia4@MY.SCCCD.EDU</t>
  </si>
  <si>
    <t>Pyle, Matthew</t>
  </si>
  <si>
    <t>MPyle1@MY.SCCCD.EDU</t>
  </si>
  <si>
    <t>San Roman, Jesus</t>
  </si>
  <si>
    <t>JSanRoman2@MY.SCCCD.EDU</t>
  </si>
  <si>
    <t>Rodriguez, Madison</t>
  </si>
  <si>
    <t>MTRodriguez3@MY.SCCCD.EDU</t>
  </si>
  <si>
    <t>Ceballos, Ariel</t>
  </si>
  <si>
    <t>AMCeballos1@MY.SCCCD.EDU</t>
  </si>
  <si>
    <t>Morgan, Steven</t>
  </si>
  <si>
    <t>SVMorgan1@MY.SCCCD.EDU</t>
  </si>
  <si>
    <t>Andrade, Antonio</t>
  </si>
  <si>
    <t>AAndrade26@MY.SCCCD.EDU</t>
  </si>
  <si>
    <t>Zavala, Nia</t>
  </si>
  <si>
    <t>NRZavala2@MY.SCCCD.EDU</t>
  </si>
  <si>
    <t>Castro, Socorro</t>
  </si>
  <si>
    <t>SCastro42@MY.SCCCD.EDU</t>
  </si>
  <si>
    <t>Vargas, Lisa</t>
  </si>
  <si>
    <t>LRVargas1@MY.SCCCD.EDU</t>
  </si>
  <si>
    <t>Garcia, Andres</t>
  </si>
  <si>
    <t>AGarcia679@MY.SCCCD.EDU</t>
  </si>
  <si>
    <t>Parada, Jennifer</t>
  </si>
  <si>
    <t>JParada1@MY.SCCCD.EDU</t>
  </si>
  <si>
    <t>Hernan, Jazmine</t>
  </si>
  <si>
    <t>JHHernan1@MY.SCCCD.EDU</t>
  </si>
  <si>
    <t>Aquino, Hailey</t>
  </si>
  <si>
    <t>HJAquino1@MY.SCCCD.EDU</t>
  </si>
  <si>
    <t>Esparza, Beatrice</t>
  </si>
  <si>
    <t>BMEsparza1@MY.SCCCD.EDU</t>
  </si>
  <si>
    <t>Sarkisyan, Rita</t>
  </si>
  <si>
    <t>RASarkisyan1@MY.SCCCD.EDU</t>
  </si>
  <si>
    <t>Pedroza, Serena</t>
  </si>
  <si>
    <t>SRPedroza2@MY.SCCCD.EDU</t>
  </si>
  <si>
    <t>Tacadena, Elle</t>
  </si>
  <si>
    <t>EMTacadena1@MY.SCCCD.EDU</t>
  </si>
  <si>
    <t>Santos, Madison</t>
  </si>
  <si>
    <t>MRSantos3@MY.SCCCD.EDU</t>
  </si>
  <si>
    <t>Wright, Rebecca</t>
  </si>
  <si>
    <t>RLWright3@MY.SCCCD.EDU</t>
  </si>
  <si>
    <t>Rodriguez, Ericke</t>
  </si>
  <si>
    <t>EMRodriguez22@MY.SCCCD.EDU</t>
  </si>
  <si>
    <t>Jimenez Merino, Oscar</t>
  </si>
  <si>
    <t>ODJimenezMerino1@MY.SCCCD.EDU</t>
  </si>
  <si>
    <t>Ross, Derick</t>
  </si>
  <si>
    <t>DSRoss2@MY.SCCCD.EDU</t>
  </si>
  <si>
    <t>Negrete, Miguel</t>
  </si>
  <si>
    <t>MNegrete25@MY.SCCCD.EDU</t>
  </si>
  <si>
    <t>Maravilla Martinez, Rogelio</t>
  </si>
  <si>
    <t>RMaravillaMartinez1@MY.SCCCD.EDU</t>
  </si>
  <si>
    <t>Hernandez Salcedo, Belen</t>
  </si>
  <si>
    <t>BGHernandezSalcedo1@MY.SCCCD.EDU</t>
  </si>
  <si>
    <t>Corea, Kristie</t>
  </si>
  <si>
    <t>KNCorea1@MY.SCCCD.EDU</t>
  </si>
  <si>
    <t>Xiong, Wendy</t>
  </si>
  <si>
    <t>WPXiong2@MY.SCCCD.EDU</t>
  </si>
  <si>
    <t>Nounvilaythong, Samaria</t>
  </si>
  <si>
    <t>SVNounvilaythong1@MY.SCCCD.EDU</t>
  </si>
  <si>
    <t>Musso, Isabella</t>
  </si>
  <si>
    <t>IRMusso1@MY.SCCCD.EDU</t>
  </si>
  <si>
    <t>Arellano Cruz, Ashley</t>
  </si>
  <si>
    <t>AMArellanoCruz1@MY.SCCCD.EDU</t>
  </si>
  <si>
    <t>Cuevas Romero, Ana</t>
  </si>
  <si>
    <t>ADCuevasRomero1@MY.SCCCD.EDU</t>
  </si>
  <si>
    <t>Pascale, Teah</t>
  </si>
  <si>
    <t>TMPascale1@MY.SCCCD.EDU</t>
  </si>
  <si>
    <t>Olea, Joscelyne</t>
  </si>
  <si>
    <t>JDOlea1@MY.SCCCD.EDU</t>
  </si>
  <si>
    <t>Gamez, Sergio</t>
  </si>
  <si>
    <t>SRGamez1@MY.SCCCD.EDU</t>
  </si>
  <si>
    <t>Khan, Hamza</t>
  </si>
  <si>
    <t>HAKhan2@MY.SCCCD.EDU</t>
  </si>
  <si>
    <t>Munoz Cisneros, Evelyn</t>
  </si>
  <si>
    <t>EMunozCisneros1@MY.SCCCD.EDU</t>
  </si>
  <si>
    <t>Bryant, Tajanique</t>
  </si>
  <si>
    <t>TMBryant1@MY.SCCCD.EDU</t>
  </si>
  <si>
    <t>Snell, Tricia</t>
  </si>
  <si>
    <t>TDSnell1@MY.SCCCD.EDU</t>
  </si>
  <si>
    <t>Her, Kangbao</t>
  </si>
  <si>
    <t>KHer133@MY.SCCCD.EDU</t>
  </si>
  <si>
    <t>Lopez, Jovina</t>
  </si>
  <si>
    <t>JALopez110@MY.SCCCD.EDU</t>
  </si>
  <si>
    <t>Garcia, Jovanna</t>
  </si>
  <si>
    <t>JAGarcia38@MY.SCCCD.EDU</t>
  </si>
  <si>
    <t>Sandoval, Emily</t>
  </si>
  <si>
    <t>EESandoval2@MY.SCCCD.EDU</t>
  </si>
  <si>
    <t>Moua, Haley</t>
  </si>
  <si>
    <t>HNMoua3@MY.SCCCD.EDU</t>
  </si>
  <si>
    <t>Hernandez, Arriel</t>
  </si>
  <si>
    <t>AHernandez641@MY.SCCCD.EDU</t>
  </si>
  <si>
    <t>Becerril, Destiny</t>
  </si>
  <si>
    <t>DVBecerril1@MY.SCCCD.EDU</t>
  </si>
  <si>
    <t>Garza, Liliana</t>
  </si>
  <si>
    <t>LBGarza1@MY.SCCCD.EDU</t>
  </si>
  <si>
    <t>mean</t>
  </si>
  <si>
    <t>std dev</t>
  </si>
  <si>
    <t>median</t>
  </si>
  <si>
    <t>count</t>
  </si>
  <si>
    <t>high</t>
  </si>
  <si>
    <t>low</t>
  </si>
  <si>
    <t>mode</t>
  </si>
  <si>
    <t>Section</t>
  </si>
  <si>
    <t>Email</t>
  </si>
  <si>
    <t>Score</t>
  </si>
  <si>
    <t>SLO</t>
  </si>
  <si>
    <t>SLO 1 subscore</t>
  </si>
  <si>
    <t>SLO 2 subscore</t>
  </si>
  <si>
    <t>% Correct</t>
  </si>
  <si>
    <t>%
SLO 1</t>
  </si>
  <si>
    <t>%
SLO 2</t>
  </si>
  <si>
    <t>Libre Chapter Reference</t>
  </si>
  <si>
    <t>Two-level sort: section then name</t>
  </si>
  <si>
    <t>SLO 1 Qs</t>
  </si>
  <si>
    <t>SLO 2 Qs</t>
  </si>
  <si>
    <t>Modality</t>
  </si>
  <si>
    <t>Campus</t>
  </si>
  <si>
    <t>Instructor</t>
  </si>
  <si>
    <t>Semester</t>
  </si>
  <si>
    <t>Year</t>
  </si>
  <si>
    <t>ACS Exam (G)OB</t>
  </si>
  <si>
    <t>SIS User ID</t>
  </si>
  <si>
    <t>Course Grade</t>
  </si>
  <si>
    <t>Overall ACS Raw Score (Out of 50)</t>
  </si>
  <si>
    <t>SLO 1: Quantitative (%)</t>
  </si>
  <si>
    <t>SLO 2: Qualitative (%)</t>
  </si>
  <si>
    <t>SLO 3: Lab Practical (%)</t>
  </si>
  <si>
    <t>F2F</t>
  </si>
  <si>
    <t>Main</t>
  </si>
  <si>
    <t>MH</t>
  </si>
  <si>
    <t>FA</t>
  </si>
  <si>
    <t>Ordered by Section, Then Name</t>
  </si>
  <si>
    <t>ID</t>
  </si>
  <si>
    <t>Final Score</t>
  </si>
  <si>
    <t>Grade</t>
  </si>
  <si>
    <t>Andrade, Aaron</t>
  </si>
  <si>
    <t>CHEM-3A-43957-2025FA</t>
  </si>
  <si>
    <t>Cuevas Romero, Daniela</t>
  </si>
  <si>
    <t>Fang, Pa</t>
  </si>
  <si>
    <t>Pyle, Matt</t>
  </si>
  <si>
    <t>Santos, Madi</t>
  </si>
  <si>
    <t>CHEM-3A-43958-2025FA</t>
  </si>
  <si>
    <t>Bryant, Taj</t>
  </si>
  <si>
    <t>Garcia-Hernandez, Allison</t>
  </si>
  <si>
    <t>Landeros, Hidai</t>
  </si>
  <si>
    <t>F</t>
  </si>
  <si>
    <t>Martinez, Nessa</t>
  </si>
  <si>
    <t>McGill, Abbey</t>
  </si>
  <si>
    <t>Morgan, Steve</t>
  </si>
  <si>
    <t>Musso, Robin</t>
  </si>
  <si>
    <t>Perales, April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</si>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</sst>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"/>
    <numFmt numFmtId="165" formatCode="0.0"/>
  </numFmts>
  <fonts count="5" x14ac:knownFonts="1">
    <font>
      <sz val="10"/>
      <name val="Tahoma"/>
    </font>
    <font>
      <sz val="10"/>
      <name val="Tahoma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right"/>
    </xf>
    <xf numFmtId="165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/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164" fontId="0" fillId="3" borderId="0" xfId="0" applyNumberForma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4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15"/>
  <sheetViews>
    <sheetView workbookViewId="0"/>
  </sheetViews>
  <sheetFormatPr defaultColWidth="9.140625" defaultRowHeight="12.75" x14ac:dyDescent="0.2"/>
  <cols>
    <col min="2" max="2" width="26.28515625" customWidth="1"/>
    <col min="3" max="3" width="10" style="1" customWidth="1"/>
    <col min="4" max="4" width="32" customWidth="1"/>
    <col min="5" max="5" width="7.42578125" style="1" customWidth="1"/>
    <col min="6" max="6" width="7" style="1" customWidth="1"/>
    <col min="7" max="7" width="8.42578125" style="1" customWidth="1"/>
    <col min="8" max="8" width="7.5703125" style="1" customWidth="1"/>
    <col min="9" max="9" width="8.42578125" style="1" customWidth="1"/>
    <col min="10" max="10" width="6" style="1" customWidth="1"/>
    <col min="11" max="58" width="5.28515625" style="1" customWidth="1"/>
    <col min="59" max="60" width="5.28515625" customWidth="1"/>
    <col min="62" max="62" width="9.5703125" bestFit="1" customWidth="1"/>
  </cols>
  <sheetData>
    <row r="1" spans="1:63" x14ac:dyDescent="0.2">
      <c r="BG1" s="1"/>
    </row>
    <row r="2" spans="1:63" x14ac:dyDescent="0.2">
      <c r="F2" s="5"/>
      <c r="G2" s="5"/>
      <c r="H2" s="5"/>
      <c r="I2" s="5"/>
      <c r="J2" s="5" t="s">
        <v>173</v>
      </c>
      <c r="K2" s="1">
        <v>4</v>
      </c>
      <c r="L2" s="1">
        <v>4</v>
      </c>
      <c r="M2" s="1">
        <v>7</v>
      </c>
      <c r="N2" s="1">
        <v>4</v>
      </c>
      <c r="O2" s="1">
        <v>1</v>
      </c>
      <c r="P2" s="1">
        <v>1</v>
      </c>
      <c r="Q2" s="1">
        <v>1</v>
      </c>
      <c r="R2" s="1">
        <v>1</v>
      </c>
      <c r="S2" s="1">
        <v>2</v>
      </c>
      <c r="T2" s="1">
        <v>3</v>
      </c>
      <c r="U2" s="1">
        <v>3</v>
      </c>
      <c r="V2" s="1">
        <v>3</v>
      </c>
      <c r="W2" s="1">
        <v>4</v>
      </c>
      <c r="X2" s="1">
        <v>4</v>
      </c>
      <c r="Y2" s="1">
        <v>4</v>
      </c>
      <c r="Z2" s="1">
        <v>4</v>
      </c>
      <c r="AA2" s="1">
        <v>6</v>
      </c>
      <c r="AB2" s="1">
        <v>6</v>
      </c>
      <c r="AC2" s="1">
        <v>6</v>
      </c>
      <c r="AD2" s="1">
        <v>12</v>
      </c>
      <c r="AE2" s="1">
        <v>5</v>
      </c>
      <c r="AF2" s="1">
        <v>11</v>
      </c>
      <c r="AG2" s="1">
        <v>11</v>
      </c>
      <c r="AH2" s="1">
        <v>11</v>
      </c>
      <c r="AI2" s="1">
        <v>8</v>
      </c>
      <c r="AJ2" s="1">
        <v>7</v>
      </c>
      <c r="AK2" s="1">
        <v>8</v>
      </c>
      <c r="AL2" s="1">
        <v>6</v>
      </c>
      <c r="AM2" s="1">
        <v>9</v>
      </c>
      <c r="AN2" s="1">
        <v>9</v>
      </c>
      <c r="AO2" s="1">
        <v>9</v>
      </c>
      <c r="AP2" s="1">
        <v>9</v>
      </c>
      <c r="AQ2" s="1">
        <v>10</v>
      </c>
      <c r="AR2" s="1">
        <v>10</v>
      </c>
      <c r="AS2" s="1">
        <v>10</v>
      </c>
      <c r="AT2" s="1">
        <v>10</v>
      </c>
      <c r="AU2" s="1">
        <v>12</v>
      </c>
      <c r="AV2" s="1">
        <v>10</v>
      </c>
      <c r="AW2" s="1">
        <v>10</v>
      </c>
      <c r="AX2" s="1">
        <v>12</v>
      </c>
      <c r="AY2" s="1">
        <v>14</v>
      </c>
      <c r="AZ2" s="1">
        <v>14</v>
      </c>
      <c r="BA2" s="1">
        <v>14</v>
      </c>
      <c r="BB2" s="1">
        <v>14</v>
      </c>
      <c r="BC2" s="1">
        <v>13</v>
      </c>
      <c r="BD2" s="1">
        <v>13</v>
      </c>
      <c r="BE2" s="1">
        <v>13</v>
      </c>
      <c r="BF2" s="1">
        <v>7</v>
      </c>
      <c r="BG2" s="1">
        <v>13</v>
      </c>
      <c r="BH2" s="1">
        <v>11</v>
      </c>
    </row>
    <row r="3" spans="1:63" x14ac:dyDescent="0.2">
      <c r="F3" s="5"/>
      <c r="G3" s="5"/>
      <c r="H3" s="5"/>
      <c r="I3" s="5"/>
      <c r="J3" s="5" t="s">
        <v>167</v>
      </c>
      <c r="K3" s="1">
        <v>2</v>
      </c>
      <c r="L3" s="1">
        <v>2</v>
      </c>
      <c r="M3" s="1">
        <v>2</v>
      </c>
      <c r="N3" s="1">
        <v>2</v>
      </c>
      <c r="O3" s="1">
        <v>1</v>
      </c>
      <c r="P3" s="1">
        <v>1</v>
      </c>
      <c r="Q3" s="1">
        <v>1</v>
      </c>
      <c r="R3" s="1">
        <v>1</v>
      </c>
      <c r="S3" s="1">
        <v>2</v>
      </c>
      <c r="T3" s="1">
        <v>2</v>
      </c>
      <c r="U3" s="1">
        <v>2</v>
      </c>
      <c r="V3" s="1">
        <v>2</v>
      </c>
      <c r="W3" s="1">
        <v>2</v>
      </c>
      <c r="X3" s="1">
        <v>2</v>
      </c>
      <c r="Y3" s="1">
        <v>2</v>
      </c>
      <c r="Z3" s="1">
        <v>2</v>
      </c>
      <c r="AC3" s="1">
        <v>2</v>
      </c>
      <c r="AD3" s="1">
        <v>1</v>
      </c>
      <c r="AE3" s="1">
        <v>1</v>
      </c>
      <c r="AF3" s="1">
        <v>1</v>
      </c>
      <c r="AG3" s="1">
        <v>1</v>
      </c>
      <c r="AH3" s="1">
        <v>1</v>
      </c>
      <c r="AI3" s="1">
        <v>2</v>
      </c>
      <c r="AJ3" s="1">
        <v>2</v>
      </c>
      <c r="AK3" s="1">
        <v>1</v>
      </c>
      <c r="AL3" s="1">
        <v>2</v>
      </c>
      <c r="AM3" s="1">
        <v>1</v>
      </c>
      <c r="AN3" s="1">
        <v>1</v>
      </c>
      <c r="AO3" s="1">
        <v>2</v>
      </c>
      <c r="AP3" s="1">
        <v>2</v>
      </c>
      <c r="AQ3" s="1">
        <v>2</v>
      </c>
      <c r="AR3" s="1">
        <v>2</v>
      </c>
      <c r="AS3" s="1">
        <v>2</v>
      </c>
      <c r="AT3" s="1">
        <v>2</v>
      </c>
      <c r="AU3" s="1">
        <v>1</v>
      </c>
      <c r="AV3" s="1">
        <v>2</v>
      </c>
      <c r="AW3" s="1">
        <v>2</v>
      </c>
      <c r="AX3" s="1">
        <v>2</v>
      </c>
      <c r="AY3" s="1">
        <v>2</v>
      </c>
      <c r="AZ3" s="1">
        <v>1</v>
      </c>
      <c r="BB3" s="1">
        <v>2</v>
      </c>
      <c r="BC3" s="1">
        <v>2</v>
      </c>
      <c r="BD3" s="1">
        <v>2</v>
      </c>
      <c r="BG3" s="1"/>
      <c r="BH3" s="1">
        <v>2</v>
      </c>
    </row>
    <row r="4" spans="1:63" x14ac:dyDescent="0.2">
      <c r="E4"/>
      <c r="F4"/>
      <c r="G4" t="s">
        <v>175</v>
      </c>
      <c r="H4"/>
      <c r="I4" t="s">
        <v>176</v>
      </c>
      <c r="J4"/>
      <c r="BG4" s="1"/>
      <c r="BH4" s="1"/>
    </row>
    <row r="5" spans="1:63" x14ac:dyDescent="0.2">
      <c r="E5" s="1" t="s">
        <v>60</v>
      </c>
      <c r="G5" s="1">
        <f>COUNTIF(K3:BH3,1)</f>
        <v>14</v>
      </c>
      <c r="I5" s="1">
        <f>COUNTIF(K3:BH3,2)</f>
        <v>30</v>
      </c>
      <c r="K5" s="1" t="s">
        <v>3</v>
      </c>
      <c r="L5" s="1" t="s">
        <v>4</v>
      </c>
      <c r="M5" s="1" t="s">
        <v>5</v>
      </c>
      <c r="N5" s="1" t="s">
        <v>3</v>
      </c>
      <c r="O5" s="1" t="s">
        <v>3</v>
      </c>
      <c r="P5" s="1" t="s">
        <v>6</v>
      </c>
      <c r="Q5" s="1" t="s">
        <v>6</v>
      </c>
      <c r="R5" s="1" t="s">
        <v>4</v>
      </c>
      <c r="S5" s="1" t="s">
        <v>6</v>
      </c>
      <c r="T5" s="1" t="s">
        <v>4</v>
      </c>
      <c r="U5" s="1" t="s">
        <v>6</v>
      </c>
      <c r="V5" s="1" t="s">
        <v>4</v>
      </c>
      <c r="W5" s="1" t="s">
        <v>3</v>
      </c>
      <c r="X5" s="1" t="s">
        <v>3</v>
      </c>
      <c r="Y5" s="1" t="s">
        <v>5</v>
      </c>
      <c r="Z5" s="1" t="s">
        <v>4</v>
      </c>
      <c r="AA5" s="1" t="s">
        <v>5</v>
      </c>
      <c r="AB5" s="1" t="s">
        <v>6</v>
      </c>
      <c r="AC5" s="1" t="s">
        <v>6</v>
      </c>
      <c r="AD5" s="1" t="s">
        <v>4</v>
      </c>
      <c r="AE5" s="1" t="s">
        <v>4</v>
      </c>
      <c r="AF5" s="1" t="s">
        <v>3</v>
      </c>
      <c r="AG5" s="1" t="s">
        <v>6</v>
      </c>
      <c r="AH5" s="1" t="s">
        <v>3</v>
      </c>
      <c r="AI5" s="1" t="s">
        <v>4</v>
      </c>
      <c r="AJ5" s="1" t="s">
        <v>5</v>
      </c>
      <c r="AK5" s="1" t="s">
        <v>5</v>
      </c>
      <c r="AL5" s="1" t="s">
        <v>4</v>
      </c>
      <c r="AM5" s="1" t="s">
        <v>4</v>
      </c>
      <c r="AN5" s="1" t="s">
        <v>5</v>
      </c>
      <c r="AO5" s="1" t="s">
        <v>3</v>
      </c>
      <c r="AP5" s="1" t="s">
        <v>3</v>
      </c>
      <c r="AQ5" s="1" t="s">
        <v>5</v>
      </c>
      <c r="AR5" s="1" t="s">
        <v>6</v>
      </c>
      <c r="AS5" s="1" t="s">
        <v>3</v>
      </c>
      <c r="AT5" s="1" t="s">
        <v>6</v>
      </c>
      <c r="AU5" s="1" t="s">
        <v>6</v>
      </c>
      <c r="AV5" s="1" t="s">
        <v>3</v>
      </c>
      <c r="AW5" s="1" t="s">
        <v>4</v>
      </c>
      <c r="AX5" s="1" t="s">
        <v>3</v>
      </c>
      <c r="AY5" s="1" t="s">
        <v>5</v>
      </c>
      <c r="AZ5" s="1" t="s">
        <v>6</v>
      </c>
      <c r="BA5" s="1" t="s">
        <v>5</v>
      </c>
      <c r="BB5" s="1" t="s">
        <v>4</v>
      </c>
      <c r="BC5" s="1" t="s">
        <v>3</v>
      </c>
      <c r="BD5" s="1" t="s">
        <v>6</v>
      </c>
      <c r="BE5" s="1" t="s">
        <v>5</v>
      </c>
      <c r="BF5" s="1" t="s">
        <v>5</v>
      </c>
      <c r="BG5" s="1" t="s">
        <v>6</v>
      </c>
      <c r="BH5" s="1" t="s">
        <v>5</v>
      </c>
      <c r="BJ5" s="3"/>
      <c r="BK5" s="4"/>
    </row>
    <row r="6" spans="1:63" x14ac:dyDescent="0.2">
      <c r="B6" t="s">
        <v>174</v>
      </c>
      <c r="E6"/>
      <c r="F6"/>
      <c r="G6"/>
      <c r="H6"/>
      <c r="I6"/>
      <c r="J6"/>
      <c r="BG6" s="1"/>
      <c r="BH6" s="1"/>
    </row>
    <row r="7" spans="1:63" ht="25.5" customHeight="1" x14ac:dyDescent="0.2">
      <c r="A7" t="s">
        <v>0</v>
      </c>
      <c r="B7" t="s">
        <v>1</v>
      </c>
      <c r="C7" s="1" t="s">
        <v>164</v>
      </c>
      <c r="D7" t="s">
        <v>165</v>
      </c>
      <c r="E7" s="1" t="s">
        <v>59</v>
      </c>
      <c r="F7" s="7" t="s">
        <v>170</v>
      </c>
      <c r="G7" s="7" t="s">
        <v>168</v>
      </c>
      <c r="H7" s="7" t="s">
        <v>171</v>
      </c>
      <c r="I7" s="7" t="s">
        <v>169</v>
      </c>
      <c r="J7" s="7" t="s">
        <v>172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1" t="s">
        <v>18</v>
      </c>
      <c r="U7" s="1" t="s">
        <v>19</v>
      </c>
      <c r="V7" s="1" t="s">
        <v>20</v>
      </c>
      <c r="W7" s="1" t="s">
        <v>21</v>
      </c>
      <c r="X7" s="1" t="s">
        <v>22</v>
      </c>
      <c r="Y7" s="1" t="s">
        <v>23</v>
      </c>
      <c r="Z7" s="1" t="s">
        <v>24</v>
      </c>
      <c r="AA7" s="1" t="s">
        <v>25</v>
      </c>
      <c r="AB7" s="1" t="s">
        <v>26</v>
      </c>
      <c r="AC7" s="1" t="s">
        <v>27</v>
      </c>
      <c r="AD7" s="1" t="s">
        <v>28</v>
      </c>
      <c r="AE7" s="1" t="s">
        <v>29</v>
      </c>
      <c r="AF7" s="1" t="s">
        <v>30</v>
      </c>
      <c r="AG7" s="1" t="s">
        <v>31</v>
      </c>
      <c r="AH7" s="1" t="s">
        <v>32</v>
      </c>
      <c r="AI7" s="1" t="s">
        <v>33</v>
      </c>
      <c r="AJ7" s="1" t="s">
        <v>34</v>
      </c>
      <c r="AK7" s="1" t="s">
        <v>35</v>
      </c>
      <c r="AL7" s="1" t="s">
        <v>36</v>
      </c>
      <c r="AM7" s="1" t="s">
        <v>37</v>
      </c>
      <c r="AN7" s="1" t="s">
        <v>38</v>
      </c>
      <c r="AO7" s="1" t="s">
        <v>39</v>
      </c>
      <c r="AP7" s="1" t="s">
        <v>40</v>
      </c>
      <c r="AQ7" s="1" t="s">
        <v>41</v>
      </c>
      <c r="AR7" s="1" t="s">
        <v>42</v>
      </c>
      <c r="AS7" s="1" t="s">
        <v>43</v>
      </c>
      <c r="AT7" s="1" t="s">
        <v>44</v>
      </c>
      <c r="AU7" s="1" t="s">
        <v>45</v>
      </c>
      <c r="AV7" s="1" t="s">
        <v>46</v>
      </c>
      <c r="AW7" s="1" t="s">
        <v>47</v>
      </c>
      <c r="AX7" s="1" t="s">
        <v>48</v>
      </c>
      <c r="AY7" s="1" t="s">
        <v>49</v>
      </c>
      <c r="AZ7" s="1" t="s">
        <v>50</v>
      </c>
      <c r="BA7" s="1" t="s">
        <v>51</v>
      </c>
      <c r="BB7" s="1" t="s">
        <v>52</v>
      </c>
      <c r="BC7" s="1" t="s">
        <v>53</v>
      </c>
      <c r="BD7" s="1" t="s">
        <v>54</v>
      </c>
      <c r="BE7" s="1" t="s">
        <v>55</v>
      </c>
      <c r="BF7" s="1" t="s">
        <v>56</v>
      </c>
      <c r="BG7" s="1" t="s">
        <v>57</v>
      </c>
      <c r="BH7" s="1" t="s">
        <v>58</v>
      </c>
    </row>
    <row r="8" spans="1:63" x14ac:dyDescent="0.2">
      <c r="A8" s="11">
        <v>694264</v>
      </c>
      <c r="B8" s="12" t="s">
        <v>75</v>
      </c>
      <c r="C8" s="13">
        <v>43957</v>
      </c>
      <c r="D8" t="s">
        <v>76</v>
      </c>
      <c r="E8" s="1" cm="1">
        <f t="array" ref="E8">SUMPRODUCT(--(K8:BH8=$K$5:$BH$5))</f>
        <v>24</v>
      </c>
      <c r="F8" s="10">
        <f t="shared" ref="F8:F55" si="0">E8/50*100</f>
        <v>48</v>
      </c>
      <c r="G8" s="1" cm="1">
        <f t="array" ref="G8">SUMPRODUCT(--(K8:BH8=$K$5:$BH$5), --($K$3:$BH$3=1))</f>
        <v>6</v>
      </c>
      <c r="H8" s="9">
        <f>G8/$G$5*100</f>
        <v>42.857142857142854</v>
      </c>
      <c r="I8" s="1" cm="1">
        <f t="array" ref="I8">SUMPRODUCT(--(K8:BH8=$K$5:$BH$5), --($K$3:$BH$3=2))</f>
        <v>13</v>
      </c>
      <c r="J8" s="9">
        <f>I8/$I$5*100</f>
        <v>43.333333333333336</v>
      </c>
      <c r="K8" s="1" t="s">
        <v>3</v>
      </c>
      <c r="L8" s="1" t="s">
        <v>6</v>
      </c>
      <c r="M8" s="1" t="s">
        <v>4</v>
      </c>
      <c r="N8" s="1" t="s">
        <v>6</v>
      </c>
      <c r="O8" s="1" t="s">
        <v>3</v>
      </c>
      <c r="P8" s="1" t="s">
        <v>4</v>
      </c>
      <c r="Q8" s="1" t="s">
        <v>5</v>
      </c>
      <c r="R8" s="1" t="s">
        <v>4</v>
      </c>
      <c r="S8" s="1" t="s">
        <v>4</v>
      </c>
      <c r="T8" s="1" t="s">
        <v>4</v>
      </c>
      <c r="U8" s="1" t="s">
        <v>6</v>
      </c>
      <c r="V8" s="1" t="s">
        <v>4</v>
      </c>
      <c r="W8" s="1" t="s">
        <v>3</v>
      </c>
      <c r="X8" s="1" t="s">
        <v>3</v>
      </c>
      <c r="Y8" s="1" t="s">
        <v>6</v>
      </c>
      <c r="Z8" s="1" t="s">
        <v>3</v>
      </c>
      <c r="AA8" s="1" t="s">
        <v>5</v>
      </c>
      <c r="AB8" s="1" t="s">
        <v>6</v>
      </c>
      <c r="AC8" s="1" t="s">
        <v>6</v>
      </c>
      <c r="AD8" s="1" t="s">
        <v>6</v>
      </c>
      <c r="AE8" s="1" t="s">
        <v>4</v>
      </c>
      <c r="AF8" s="1" t="s">
        <v>4</v>
      </c>
      <c r="AG8" s="1" t="s">
        <v>3</v>
      </c>
      <c r="AH8" s="1" t="s">
        <v>5</v>
      </c>
      <c r="AI8" s="1" t="s">
        <v>4</v>
      </c>
      <c r="AJ8" s="1" t="s">
        <v>5</v>
      </c>
      <c r="AK8" s="1" t="s">
        <v>4</v>
      </c>
      <c r="AL8" s="1" t="s">
        <v>5</v>
      </c>
      <c r="AM8" s="1" t="s">
        <v>4</v>
      </c>
      <c r="AN8" s="1" t="s">
        <v>4</v>
      </c>
      <c r="AO8" s="1" t="s">
        <v>4</v>
      </c>
      <c r="AP8" s="1" t="s">
        <v>4</v>
      </c>
      <c r="AQ8" s="1" t="s">
        <v>5</v>
      </c>
      <c r="AR8" s="1" t="s">
        <v>4</v>
      </c>
      <c r="AS8" s="1" t="s">
        <v>5</v>
      </c>
      <c r="AT8" s="1" t="s">
        <v>6</v>
      </c>
      <c r="AU8" s="1" t="s">
        <v>6</v>
      </c>
      <c r="AV8" s="1" t="s">
        <v>5</v>
      </c>
      <c r="AW8" s="1" t="s">
        <v>3</v>
      </c>
      <c r="AX8" s="1" t="s">
        <v>4</v>
      </c>
      <c r="AY8" s="1" t="s">
        <v>5</v>
      </c>
      <c r="AZ8" s="1" t="s">
        <v>6</v>
      </c>
      <c r="BA8" s="1" t="s">
        <v>5</v>
      </c>
      <c r="BB8" s="1" t="s">
        <v>4</v>
      </c>
      <c r="BC8" s="1" t="s">
        <v>4</v>
      </c>
      <c r="BD8" s="1" t="s">
        <v>3</v>
      </c>
      <c r="BE8" s="1" t="s">
        <v>4</v>
      </c>
      <c r="BF8" s="1" t="s">
        <v>5</v>
      </c>
      <c r="BG8" s="1" t="s">
        <v>6</v>
      </c>
      <c r="BH8" s="1" t="s">
        <v>6</v>
      </c>
    </row>
    <row r="9" spans="1:63" x14ac:dyDescent="0.2">
      <c r="A9" s="11">
        <v>873290</v>
      </c>
      <c r="B9" s="12" t="s">
        <v>89</v>
      </c>
      <c r="C9" s="13">
        <v>43957</v>
      </c>
      <c r="D9" t="s">
        <v>90</v>
      </c>
      <c r="E9" s="1" cm="1">
        <f t="array" ref="E9">SUMPRODUCT(--(K9:BH9=$K$5:$BH$5))</f>
        <v>42</v>
      </c>
      <c r="F9" s="10">
        <f t="shared" si="0"/>
        <v>84</v>
      </c>
      <c r="G9" s="1" cm="1">
        <f t="array" ref="G9">SUMPRODUCT(--(K9:BH9=$K$5:$BH$5), --($K$3:$BH$3=1))</f>
        <v>12</v>
      </c>
      <c r="H9" s="9">
        <f t="shared" ref="H9:H55" si="1">G9/$G$5*100</f>
        <v>85.714285714285708</v>
      </c>
      <c r="I9" s="1" cm="1">
        <f t="array" ref="I9">SUMPRODUCT(--(K9:BH9=$K$5:$BH$5), --($K$3:$BH$3=2))</f>
        <v>26</v>
      </c>
      <c r="J9" s="9">
        <f t="shared" ref="J9:J55" si="2">I9/$I$5*100</f>
        <v>86.666666666666671</v>
      </c>
      <c r="K9" s="1" t="s">
        <v>3</v>
      </c>
      <c r="L9" s="1" t="s">
        <v>5</v>
      </c>
      <c r="M9" s="1" t="s">
        <v>5</v>
      </c>
      <c r="N9" s="1" t="s">
        <v>3</v>
      </c>
      <c r="O9" s="1" t="s">
        <v>3</v>
      </c>
      <c r="P9" s="1" t="s">
        <v>5</v>
      </c>
      <c r="Q9" s="1" t="s">
        <v>6</v>
      </c>
      <c r="R9" s="1" t="s">
        <v>4</v>
      </c>
      <c r="S9" s="1" t="s">
        <v>6</v>
      </c>
      <c r="T9" s="1" t="s">
        <v>3</v>
      </c>
      <c r="U9" s="1" t="s">
        <v>6</v>
      </c>
      <c r="V9" s="1" t="s">
        <v>4</v>
      </c>
      <c r="W9" s="1" t="s">
        <v>3</v>
      </c>
      <c r="X9" s="1" t="s">
        <v>3</v>
      </c>
      <c r="Y9" s="1" t="s">
        <v>5</v>
      </c>
      <c r="Z9" s="1" t="s">
        <v>4</v>
      </c>
      <c r="AA9" s="1" t="s">
        <v>5</v>
      </c>
      <c r="AB9" s="1" t="s">
        <v>6</v>
      </c>
      <c r="AC9" s="1" t="s">
        <v>6</v>
      </c>
      <c r="AD9" s="1" t="s">
        <v>5</v>
      </c>
      <c r="AE9" s="1" t="s">
        <v>4</v>
      </c>
      <c r="AF9" s="1" t="s">
        <v>3</v>
      </c>
      <c r="AG9" s="1" t="s">
        <v>6</v>
      </c>
      <c r="AH9" s="1" t="s">
        <v>3</v>
      </c>
      <c r="AI9" s="1" t="s">
        <v>4</v>
      </c>
      <c r="AJ9" s="1" t="s">
        <v>5</v>
      </c>
      <c r="AK9" s="1" t="s">
        <v>5</v>
      </c>
      <c r="AL9" s="1" t="s">
        <v>4</v>
      </c>
      <c r="AM9" s="1" t="s">
        <v>4</v>
      </c>
      <c r="AN9" s="1" t="s">
        <v>5</v>
      </c>
      <c r="AO9" s="1" t="s">
        <v>4</v>
      </c>
      <c r="AP9" s="1" t="s">
        <v>3</v>
      </c>
      <c r="AQ9" s="1" t="s">
        <v>5</v>
      </c>
      <c r="AR9" s="1" t="s">
        <v>6</v>
      </c>
      <c r="AS9" s="1" t="s">
        <v>3</v>
      </c>
      <c r="AT9" s="1" t="s">
        <v>6</v>
      </c>
      <c r="AU9" s="1" t="s">
        <v>6</v>
      </c>
      <c r="AV9" s="1" t="s">
        <v>3</v>
      </c>
      <c r="AW9" s="1" t="s">
        <v>4</v>
      </c>
      <c r="AX9" s="1" t="s">
        <v>6</v>
      </c>
      <c r="AY9" s="1" t="s">
        <v>5</v>
      </c>
      <c r="AZ9" s="1" t="s">
        <v>6</v>
      </c>
      <c r="BA9" s="1" t="s">
        <v>4</v>
      </c>
      <c r="BB9" s="1" t="s">
        <v>4</v>
      </c>
      <c r="BC9" s="1" t="s">
        <v>3</v>
      </c>
      <c r="BD9" s="1" t="s">
        <v>6</v>
      </c>
      <c r="BE9" s="1" t="s">
        <v>6</v>
      </c>
      <c r="BF9" s="1" t="s">
        <v>5</v>
      </c>
      <c r="BG9" s="1" t="s">
        <v>6</v>
      </c>
      <c r="BH9" s="1" t="s">
        <v>5</v>
      </c>
      <c r="BJ9" s="3" t="s">
        <v>157</v>
      </c>
      <c r="BK9" s="4">
        <v>21.1875</v>
      </c>
    </row>
    <row r="10" spans="1:63" x14ac:dyDescent="0.2">
      <c r="A10" s="11">
        <v>576373</v>
      </c>
      <c r="B10" s="12" t="s">
        <v>71</v>
      </c>
      <c r="C10" s="13">
        <v>43957</v>
      </c>
      <c r="D10" t="s">
        <v>72</v>
      </c>
      <c r="E10" s="1" cm="1">
        <f t="array" ref="E10">SUMPRODUCT(--(K10:BH10=$K$5:$BH$5))</f>
        <v>29</v>
      </c>
      <c r="F10" s="10">
        <f t="shared" si="0"/>
        <v>57.999999999999993</v>
      </c>
      <c r="G10" s="1" cm="1">
        <f t="array" ref="G10">SUMPRODUCT(--(K10:BH10=$K$5:$BH$5), --($K$3:$BH$3=1))</f>
        <v>7</v>
      </c>
      <c r="H10" s="9">
        <f t="shared" si="1"/>
        <v>50</v>
      </c>
      <c r="I10" s="1" cm="1">
        <f t="array" ref="I10">SUMPRODUCT(--(K10:BH10=$K$5:$BH$5), --($K$3:$BH$3=2))</f>
        <v>19</v>
      </c>
      <c r="J10" s="9">
        <f t="shared" si="2"/>
        <v>63.333333333333329</v>
      </c>
      <c r="K10" s="1" t="s">
        <v>3</v>
      </c>
      <c r="L10" s="1" t="s">
        <v>4</v>
      </c>
      <c r="M10" s="1" t="s">
        <v>5</v>
      </c>
      <c r="N10" s="1" t="s">
        <v>4</v>
      </c>
      <c r="O10" s="1" t="s">
        <v>3</v>
      </c>
      <c r="P10" s="1" t="s">
        <v>5</v>
      </c>
      <c r="Q10" s="1" t="s">
        <v>6</v>
      </c>
      <c r="R10" s="1" t="s">
        <v>4</v>
      </c>
      <c r="S10" s="1" t="s">
        <v>6</v>
      </c>
      <c r="T10" s="1" t="s">
        <v>6</v>
      </c>
      <c r="U10" s="1" t="s">
        <v>6</v>
      </c>
      <c r="V10" s="1" t="s">
        <v>4</v>
      </c>
      <c r="W10" s="1" t="s">
        <v>3</v>
      </c>
      <c r="X10" s="1" t="s">
        <v>6</v>
      </c>
      <c r="Y10" s="1" t="s">
        <v>4</v>
      </c>
      <c r="Z10" s="1" t="s">
        <v>3</v>
      </c>
      <c r="AA10" s="1" t="s">
        <v>5</v>
      </c>
      <c r="AB10" s="1" t="s">
        <v>4</v>
      </c>
      <c r="AC10" s="1" t="s">
        <v>3</v>
      </c>
      <c r="AD10" s="1" t="s">
        <v>4</v>
      </c>
      <c r="AE10" s="1" t="s">
        <v>6</v>
      </c>
      <c r="AF10" s="1" t="s">
        <v>6</v>
      </c>
      <c r="AG10" s="1" t="s">
        <v>6</v>
      </c>
      <c r="AH10" s="1" t="s">
        <v>6</v>
      </c>
      <c r="AI10" s="1" t="s">
        <v>6</v>
      </c>
      <c r="AJ10" s="1" t="s">
        <v>6</v>
      </c>
      <c r="AK10" s="1" t="s">
        <v>4</v>
      </c>
      <c r="AL10" s="1" t="s">
        <v>4</v>
      </c>
      <c r="AM10" s="1" t="s">
        <v>3</v>
      </c>
      <c r="AN10" s="1" t="s">
        <v>5</v>
      </c>
      <c r="AO10" s="1" t="s">
        <v>3</v>
      </c>
      <c r="AP10" s="1" t="s">
        <v>3</v>
      </c>
      <c r="AQ10" s="1" t="s">
        <v>5</v>
      </c>
      <c r="AR10" s="1" t="s">
        <v>6</v>
      </c>
      <c r="AS10" s="1" t="s">
        <v>3</v>
      </c>
      <c r="AT10" s="1" t="s">
        <v>6</v>
      </c>
      <c r="AU10" s="1" t="s">
        <v>6</v>
      </c>
      <c r="AV10" s="1" t="s">
        <v>4</v>
      </c>
      <c r="AW10" s="1" t="s">
        <v>6</v>
      </c>
      <c r="AX10" s="1" t="s">
        <v>6</v>
      </c>
      <c r="AY10" s="1" t="s">
        <v>5</v>
      </c>
      <c r="AZ10" s="1" t="s">
        <v>5</v>
      </c>
      <c r="BA10" s="1" t="s">
        <v>5</v>
      </c>
      <c r="BB10" s="1" t="s">
        <v>4</v>
      </c>
      <c r="BC10" s="1" t="s">
        <v>3</v>
      </c>
      <c r="BD10" s="1" t="s">
        <v>6</v>
      </c>
      <c r="BE10" s="1" t="s">
        <v>4</v>
      </c>
      <c r="BF10" s="1" t="s">
        <v>3</v>
      </c>
      <c r="BG10" s="1" t="s">
        <v>6</v>
      </c>
      <c r="BH10" s="1" t="s">
        <v>5</v>
      </c>
      <c r="BJ10" s="3" t="s">
        <v>158</v>
      </c>
      <c r="BK10" s="4">
        <v>6.9086940293726542</v>
      </c>
    </row>
    <row r="11" spans="1:63" x14ac:dyDescent="0.2">
      <c r="A11" s="11">
        <v>994114</v>
      </c>
      <c r="B11" s="12" t="s">
        <v>115</v>
      </c>
      <c r="C11" s="13">
        <v>43957</v>
      </c>
      <c r="D11" t="s">
        <v>116</v>
      </c>
      <c r="E11" s="1" cm="1">
        <f t="array" ref="E11">SUMPRODUCT(--(K11:BH11=$K$5:$BH$5))</f>
        <v>17</v>
      </c>
      <c r="F11" s="10">
        <f t="shared" si="0"/>
        <v>34</v>
      </c>
      <c r="G11" s="1" cm="1">
        <f t="array" ref="G11">SUMPRODUCT(--(K11:BH11=$K$5:$BH$5), --($K$3:$BH$3=1))</f>
        <v>3</v>
      </c>
      <c r="H11" s="9">
        <f t="shared" si="1"/>
        <v>21.428571428571427</v>
      </c>
      <c r="I11" s="1" cm="1">
        <f t="array" ref="I11">SUMPRODUCT(--(K11:BH11=$K$5:$BH$5), --($K$3:$BH$3=2))</f>
        <v>13</v>
      </c>
      <c r="J11" s="9">
        <f t="shared" si="2"/>
        <v>43.333333333333336</v>
      </c>
      <c r="K11" s="1" t="s">
        <v>4</v>
      </c>
      <c r="L11" s="1" t="s">
        <v>3</v>
      </c>
      <c r="M11" s="1" t="s">
        <v>5</v>
      </c>
      <c r="N11" s="1" t="s">
        <v>6</v>
      </c>
      <c r="O11" s="1" t="s">
        <v>6</v>
      </c>
      <c r="P11" s="1" t="s">
        <v>5</v>
      </c>
      <c r="Q11" s="1" t="s">
        <v>4</v>
      </c>
      <c r="R11" s="1" t="s">
        <v>4</v>
      </c>
      <c r="S11" s="1" t="s">
        <v>6</v>
      </c>
      <c r="T11" s="1" t="s">
        <v>4</v>
      </c>
      <c r="U11" s="1" t="s">
        <v>6</v>
      </c>
      <c r="V11" s="1" t="s">
        <v>4</v>
      </c>
      <c r="W11" s="1" t="s">
        <v>6</v>
      </c>
      <c r="X11" s="1" t="s">
        <v>6</v>
      </c>
      <c r="Y11" s="1" t="s">
        <v>6</v>
      </c>
      <c r="Z11" s="1" t="s">
        <v>4</v>
      </c>
      <c r="AA11" s="1" t="s">
        <v>4</v>
      </c>
      <c r="AB11" s="1" t="s">
        <v>3</v>
      </c>
      <c r="AC11" s="1" t="s">
        <v>3</v>
      </c>
      <c r="AD11" s="1" t="s">
        <v>5</v>
      </c>
      <c r="AE11" s="1" t="s">
        <v>6</v>
      </c>
      <c r="AF11" s="1" t="s">
        <v>4</v>
      </c>
      <c r="AG11" s="1" t="s">
        <v>6</v>
      </c>
      <c r="AH11" s="1" t="s">
        <v>6</v>
      </c>
      <c r="AI11" s="1" t="s">
        <v>6</v>
      </c>
      <c r="AJ11" s="1" t="s">
        <v>4</v>
      </c>
      <c r="AK11" s="1" t="s">
        <v>6</v>
      </c>
      <c r="AL11" s="1" t="s">
        <v>5</v>
      </c>
      <c r="AM11" s="1" t="s">
        <v>6</v>
      </c>
      <c r="AN11" s="1" t="s">
        <v>4</v>
      </c>
      <c r="AO11" s="1" t="s">
        <v>3</v>
      </c>
      <c r="AP11" s="1" t="s">
        <v>5</v>
      </c>
      <c r="AQ11" s="1" t="s">
        <v>5</v>
      </c>
      <c r="AR11" s="1" t="s">
        <v>6</v>
      </c>
      <c r="AS11" s="1" t="s">
        <v>3</v>
      </c>
      <c r="AT11" s="1" t="s">
        <v>4</v>
      </c>
      <c r="AU11" s="1" t="s">
        <v>5</v>
      </c>
      <c r="AV11" s="1" t="s">
        <v>3</v>
      </c>
      <c r="AW11" s="1" t="s">
        <v>5</v>
      </c>
      <c r="AX11" s="1" t="s">
        <v>6</v>
      </c>
      <c r="AY11" s="1" t="s">
        <v>4</v>
      </c>
      <c r="AZ11" s="1" t="s">
        <v>6</v>
      </c>
      <c r="BA11" s="1" t="s">
        <v>4</v>
      </c>
      <c r="BB11" s="1" t="s">
        <v>5</v>
      </c>
      <c r="BC11" s="1" t="s">
        <v>3</v>
      </c>
      <c r="BD11" s="1" t="s">
        <v>5</v>
      </c>
      <c r="BE11" s="1" t="s">
        <v>6</v>
      </c>
      <c r="BF11" s="1" t="s">
        <v>5</v>
      </c>
      <c r="BG11" s="1" t="s">
        <v>3</v>
      </c>
      <c r="BH11" s="1" t="s">
        <v>5</v>
      </c>
      <c r="BJ11" s="3" t="s">
        <v>159</v>
      </c>
      <c r="BK11">
        <v>20.5</v>
      </c>
    </row>
    <row r="12" spans="1:63" x14ac:dyDescent="0.2">
      <c r="A12" s="11">
        <v>1024952</v>
      </c>
      <c r="B12" s="12" t="s">
        <v>125</v>
      </c>
      <c r="C12" s="13">
        <v>43957</v>
      </c>
      <c r="D12" t="s">
        <v>126</v>
      </c>
      <c r="E12" s="1" cm="1">
        <f t="array" ref="E12">SUMPRODUCT(--(K12:BH12=$K$5:$BH$5))</f>
        <v>16</v>
      </c>
      <c r="F12" s="10">
        <f t="shared" si="0"/>
        <v>32</v>
      </c>
      <c r="G12" s="1" cm="1">
        <f t="array" ref="G12">SUMPRODUCT(--(K12:BH12=$K$5:$BH$5), --($K$3:$BH$3=1))</f>
        <v>4</v>
      </c>
      <c r="H12" s="9">
        <f t="shared" si="1"/>
        <v>28.571428571428569</v>
      </c>
      <c r="I12" s="1" cm="1">
        <f t="array" ref="I12">SUMPRODUCT(--(K12:BH12=$K$5:$BH$5), --($K$3:$BH$3=2))</f>
        <v>10</v>
      </c>
      <c r="J12" s="9">
        <f t="shared" si="2"/>
        <v>33.333333333333329</v>
      </c>
      <c r="K12" s="1" t="s">
        <v>3</v>
      </c>
      <c r="L12" s="1" t="s">
        <v>5</v>
      </c>
      <c r="M12" s="1" t="s">
        <v>3</v>
      </c>
      <c r="N12" s="1" t="s">
        <v>3</v>
      </c>
      <c r="O12" s="1" t="s">
        <v>3</v>
      </c>
      <c r="P12" s="1" t="s">
        <v>4</v>
      </c>
      <c r="Q12" s="1" t="s">
        <v>6</v>
      </c>
      <c r="R12" s="1" t="s">
        <v>6</v>
      </c>
      <c r="S12" s="1" t="s">
        <v>3</v>
      </c>
      <c r="T12" s="1" t="s">
        <v>5</v>
      </c>
      <c r="U12" s="1" t="s">
        <v>6</v>
      </c>
      <c r="V12" s="1" t="s">
        <v>5</v>
      </c>
      <c r="W12" s="1" t="s">
        <v>6</v>
      </c>
      <c r="X12" s="1" t="s">
        <v>4</v>
      </c>
      <c r="Y12" s="1" t="s">
        <v>5</v>
      </c>
      <c r="Z12" s="1" t="s">
        <v>6</v>
      </c>
      <c r="AA12" s="1" t="s">
        <v>3</v>
      </c>
      <c r="AB12" s="1" t="s">
        <v>3</v>
      </c>
      <c r="AC12" s="1" t="s">
        <v>5</v>
      </c>
      <c r="AD12" s="1" t="s">
        <v>5</v>
      </c>
      <c r="AE12" s="1" t="s">
        <v>6</v>
      </c>
      <c r="AF12" s="1" t="s">
        <v>4</v>
      </c>
      <c r="AG12" s="1" t="s">
        <v>3</v>
      </c>
      <c r="AH12" s="1" t="s">
        <v>6</v>
      </c>
      <c r="AI12" s="1" t="s">
        <v>3</v>
      </c>
      <c r="AJ12" s="1" t="s">
        <v>5</v>
      </c>
      <c r="AK12" s="1" t="s">
        <v>4</v>
      </c>
      <c r="AL12" s="1" t="s">
        <v>7</v>
      </c>
      <c r="AM12" s="1" t="s">
        <v>4</v>
      </c>
      <c r="AN12" s="1" t="s">
        <v>3</v>
      </c>
      <c r="AO12" s="1" t="s">
        <v>4</v>
      </c>
      <c r="AP12" s="1" t="s">
        <v>6</v>
      </c>
      <c r="AQ12" s="1" t="s">
        <v>5</v>
      </c>
      <c r="AR12" s="1" t="s">
        <v>2</v>
      </c>
      <c r="AS12" s="1" t="s">
        <v>5</v>
      </c>
      <c r="AT12" s="1" t="s">
        <v>6</v>
      </c>
      <c r="AU12" s="1" t="s">
        <v>6</v>
      </c>
      <c r="AV12" s="1" t="s">
        <v>5</v>
      </c>
      <c r="AW12" s="1" t="s">
        <v>6</v>
      </c>
      <c r="AX12" s="1" t="s">
        <v>3</v>
      </c>
      <c r="AY12" s="1" t="s">
        <v>6</v>
      </c>
      <c r="AZ12" s="1" t="s">
        <v>4</v>
      </c>
      <c r="BA12" s="1" t="s">
        <v>5</v>
      </c>
      <c r="BB12" s="1" t="s">
        <v>6</v>
      </c>
      <c r="BC12" s="1" t="s">
        <v>4</v>
      </c>
      <c r="BD12" s="1" t="s">
        <v>6</v>
      </c>
      <c r="BE12" s="1" t="s">
        <v>6</v>
      </c>
      <c r="BF12" s="1" t="s">
        <v>3</v>
      </c>
      <c r="BG12" s="1" t="s">
        <v>6</v>
      </c>
      <c r="BH12" s="1" t="s">
        <v>5</v>
      </c>
      <c r="BJ12" s="3" t="s">
        <v>163</v>
      </c>
      <c r="BK12">
        <v>16</v>
      </c>
    </row>
    <row r="13" spans="1:63" x14ac:dyDescent="0.2">
      <c r="A13" s="11">
        <v>888543</v>
      </c>
      <c r="B13" s="12" t="s">
        <v>91</v>
      </c>
      <c r="C13" s="13">
        <v>43957</v>
      </c>
      <c r="D13" t="s">
        <v>92</v>
      </c>
      <c r="E13" s="1" cm="1">
        <f t="array" ref="E13">SUMPRODUCT(--(K13:BH13=$K$5:$BH$5))</f>
        <v>18</v>
      </c>
      <c r="F13" s="10">
        <f t="shared" si="0"/>
        <v>36</v>
      </c>
      <c r="G13" s="1" cm="1">
        <f t="array" ref="G13">SUMPRODUCT(--(K13:BH13=$K$5:$BH$5), --($K$3:$BH$3=1))</f>
        <v>4</v>
      </c>
      <c r="H13" s="9">
        <f t="shared" si="1"/>
        <v>28.571428571428569</v>
      </c>
      <c r="I13" s="1" cm="1">
        <f t="array" ref="I13">SUMPRODUCT(--(K13:BH13=$K$5:$BH$5), --($K$3:$BH$3=2))</f>
        <v>11</v>
      </c>
      <c r="J13" s="9">
        <f t="shared" si="2"/>
        <v>36.666666666666664</v>
      </c>
      <c r="K13" s="1" t="s">
        <v>3</v>
      </c>
      <c r="L13" s="1" t="s">
        <v>6</v>
      </c>
      <c r="M13" s="1" t="s">
        <v>5</v>
      </c>
      <c r="N13" s="1" t="s">
        <v>6</v>
      </c>
      <c r="O13" s="1" t="s">
        <v>6</v>
      </c>
      <c r="P13" s="1" t="s">
        <v>4</v>
      </c>
      <c r="Q13" s="1" t="s">
        <v>5</v>
      </c>
      <c r="R13" s="1" t="s">
        <v>6</v>
      </c>
      <c r="S13" s="1" t="s">
        <v>5</v>
      </c>
      <c r="T13" s="1" t="s">
        <v>4</v>
      </c>
      <c r="U13" s="1" t="s">
        <v>3</v>
      </c>
      <c r="V13" s="1" t="s">
        <v>4</v>
      </c>
      <c r="W13" s="1" t="s">
        <v>4</v>
      </c>
      <c r="X13" s="1" t="s">
        <v>3</v>
      </c>
      <c r="Y13" s="1" t="s">
        <v>4</v>
      </c>
      <c r="Z13" s="1" t="s">
        <v>6</v>
      </c>
      <c r="AA13" s="1" t="s">
        <v>5</v>
      </c>
      <c r="AB13" s="1" t="s">
        <v>5</v>
      </c>
      <c r="AC13" s="1" t="s">
        <v>6</v>
      </c>
      <c r="AD13" s="1" t="s">
        <v>5</v>
      </c>
      <c r="AE13" s="1" t="s">
        <v>4</v>
      </c>
      <c r="AF13" s="1" t="s">
        <v>6</v>
      </c>
      <c r="AG13" s="1" t="s">
        <v>5</v>
      </c>
      <c r="AH13" s="1" t="s">
        <v>5</v>
      </c>
      <c r="AI13" s="1" t="s">
        <v>6</v>
      </c>
      <c r="AJ13" s="1" t="s">
        <v>3</v>
      </c>
      <c r="AK13" s="1" t="s">
        <v>4</v>
      </c>
      <c r="AL13" s="1" t="s">
        <v>3</v>
      </c>
      <c r="AM13" s="1" t="s">
        <v>4</v>
      </c>
      <c r="AN13" s="1" t="s">
        <v>5</v>
      </c>
      <c r="AO13" s="1" t="s">
        <v>5</v>
      </c>
      <c r="AP13" s="1" t="s">
        <v>3</v>
      </c>
      <c r="AQ13" s="1" t="s">
        <v>5</v>
      </c>
      <c r="AR13" s="1" t="s">
        <v>3</v>
      </c>
      <c r="AS13" s="1" t="s">
        <v>3</v>
      </c>
      <c r="AT13" s="1" t="s">
        <v>3</v>
      </c>
      <c r="AU13" s="1" t="s">
        <v>6</v>
      </c>
      <c r="AV13" s="1" t="s">
        <v>4</v>
      </c>
      <c r="AW13" s="1" t="s">
        <v>4</v>
      </c>
      <c r="AX13" s="1" t="s">
        <v>6</v>
      </c>
      <c r="AY13" s="1" t="s">
        <v>4</v>
      </c>
      <c r="AZ13" s="1" t="s">
        <v>3</v>
      </c>
      <c r="BA13" s="1" t="s">
        <v>5</v>
      </c>
      <c r="BB13" s="1" t="s">
        <v>5</v>
      </c>
      <c r="BC13" s="1" t="s">
        <v>4</v>
      </c>
      <c r="BD13" s="1" t="s">
        <v>6</v>
      </c>
      <c r="BE13" s="1" t="s">
        <v>5</v>
      </c>
      <c r="BF13" s="1" t="s">
        <v>6</v>
      </c>
      <c r="BG13" s="1" t="s">
        <v>3</v>
      </c>
      <c r="BH13" s="1" t="s">
        <v>4</v>
      </c>
      <c r="BJ13" s="3" t="s">
        <v>161</v>
      </c>
      <c r="BK13">
        <v>42</v>
      </c>
    </row>
    <row r="14" spans="1:63" x14ac:dyDescent="0.2">
      <c r="A14" s="11">
        <v>1039936</v>
      </c>
      <c r="B14" s="12" t="s">
        <v>131</v>
      </c>
      <c r="C14" s="13">
        <v>43957</v>
      </c>
      <c r="D14" t="s">
        <v>132</v>
      </c>
      <c r="E14" s="1" cm="1">
        <f t="array" ref="E14">SUMPRODUCT(--(K14:BH14=$K$5:$BH$5))</f>
        <v>17</v>
      </c>
      <c r="F14" s="10">
        <f t="shared" si="0"/>
        <v>34</v>
      </c>
      <c r="G14" s="1" cm="1">
        <f t="array" ref="G14">SUMPRODUCT(--(K14:BH14=$K$5:$BH$5), --($K$3:$BH$3=1))</f>
        <v>3</v>
      </c>
      <c r="H14" s="9">
        <f t="shared" si="1"/>
        <v>21.428571428571427</v>
      </c>
      <c r="I14" s="1" cm="1">
        <f t="array" ref="I14">SUMPRODUCT(--(K14:BH14=$K$5:$BH$5), --($K$3:$BH$3=2))</f>
        <v>11</v>
      </c>
      <c r="J14" s="9">
        <f t="shared" si="2"/>
        <v>36.666666666666664</v>
      </c>
      <c r="K14" s="1" t="s">
        <v>3</v>
      </c>
      <c r="L14" s="1" t="s">
        <v>4</v>
      </c>
      <c r="M14" s="1" t="s">
        <v>4</v>
      </c>
      <c r="N14" s="1" t="s">
        <v>5</v>
      </c>
      <c r="O14" s="1" t="s">
        <v>6</v>
      </c>
      <c r="P14" s="1" t="s">
        <v>6</v>
      </c>
      <c r="Q14" s="1" t="s">
        <v>3</v>
      </c>
      <c r="R14" s="1" t="s">
        <v>4</v>
      </c>
      <c r="S14" s="1" t="s">
        <v>4</v>
      </c>
      <c r="T14" s="1" t="s">
        <v>6</v>
      </c>
      <c r="U14" s="1" t="s">
        <v>5</v>
      </c>
      <c r="V14" s="1" t="s">
        <v>5</v>
      </c>
      <c r="W14" s="1" t="s">
        <v>5</v>
      </c>
      <c r="X14" s="1" t="s">
        <v>6</v>
      </c>
      <c r="Y14" s="1" t="s">
        <v>4</v>
      </c>
      <c r="Z14" s="1" t="s">
        <v>3</v>
      </c>
      <c r="AA14" s="1" t="s">
        <v>5</v>
      </c>
      <c r="AB14" s="1" t="s">
        <v>5</v>
      </c>
      <c r="AC14" s="1" t="s">
        <v>6</v>
      </c>
      <c r="AD14" s="1" t="s">
        <v>6</v>
      </c>
      <c r="AE14" s="1" t="s">
        <v>5</v>
      </c>
      <c r="AF14" s="1" t="s">
        <v>5</v>
      </c>
      <c r="AG14" s="1" t="s">
        <v>5</v>
      </c>
      <c r="AH14" s="1" t="s">
        <v>6</v>
      </c>
      <c r="AI14" s="1" t="s">
        <v>4</v>
      </c>
      <c r="AJ14" s="1" t="s">
        <v>5</v>
      </c>
      <c r="AK14" s="1" t="s">
        <v>4</v>
      </c>
      <c r="AL14" s="1" t="s">
        <v>4</v>
      </c>
      <c r="AM14" s="1" t="s">
        <v>3</v>
      </c>
      <c r="AN14" s="1" t="s">
        <v>4</v>
      </c>
      <c r="AO14" s="1" t="s">
        <v>5</v>
      </c>
      <c r="AP14" s="1" t="s">
        <v>6</v>
      </c>
      <c r="AQ14" s="1" t="s">
        <v>4</v>
      </c>
      <c r="AR14" s="1" t="s">
        <v>4</v>
      </c>
      <c r="AS14" s="1" t="s">
        <v>4</v>
      </c>
      <c r="AT14" s="1" t="s">
        <v>6</v>
      </c>
      <c r="AU14" s="1" t="s">
        <v>6</v>
      </c>
      <c r="AV14" s="1" t="s">
        <v>3</v>
      </c>
      <c r="AW14" s="1" t="s">
        <v>4</v>
      </c>
      <c r="AX14" s="1" t="s">
        <v>4</v>
      </c>
      <c r="AY14" s="1" t="s">
        <v>3</v>
      </c>
      <c r="AZ14" s="1" t="s">
        <v>5</v>
      </c>
      <c r="BA14" s="1" t="s">
        <v>5</v>
      </c>
      <c r="BB14" s="1" t="s">
        <v>6</v>
      </c>
      <c r="BC14" s="1" t="s">
        <v>4</v>
      </c>
      <c r="BD14" s="1" t="s">
        <v>6</v>
      </c>
      <c r="BE14" s="1" t="s">
        <v>5</v>
      </c>
      <c r="BF14" s="1" t="s">
        <v>6</v>
      </c>
      <c r="BG14" s="1" t="s">
        <v>3</v>
      </c>
      <c r="BH14" s="1" t="s">
        <v>5</v>
      </c>
      <c r="BJ14" s="3" t="s">
        <v>162</v>
      </c>
      <c r="BK14">
        <v>10</v>
      </c>
    </row>
    <row r="15" spans="1:63" x14ac:dyDescent="0.2">
      <c r="A15" s="11">
        <v>790131</v>
      </c>
      <c r="B15" s="12" t="s">
        <v>83</v>
      </c>
      <c r="C15" s="13">
        <v>43957</v>
      </c>
      <c r="D15" t="s">
        <v>84</v>
      </c>
      <c r="E15" s="1" cm="1">
        <f t="array" ref="E15">SUMPRODUCT(--(K15:BH15=$K$5:$BH$5))</f>
        <v>26</v>
      </c>
      <c r="F15" s="10">
        <f t="shared" si="0"/>
        <v>52</v>
      </c>
      <c r="G15" s="1" cm="1">
        <f t="array" ref="G15">SUMPRODUCT(--(K15:BH15=$K$5:$BH$5), --($K$3:$BH$3=1))</f>
        <v>7</v>
      </c>
      <c r="H15" s="9">
        <f t="shared" si="1"/>
        <v>50</v>
      </c>
      <c r="I15" s="1" cm="1">
        <f t="array" ref="I15">SUMPRODUCT(--(K15:BH15=$K$5:$BH$5), --($K$3:$BH$3=2))</f>
        <v>15</v>
      </c>
      <c r="J15" s="9">
        <f t="shared" si="2"/>
        <v>50</v>
      </c>
      <c r="K15" s="1" t="s">
        <v>3</v>
      </c>
      <c r="L15" s="1" t="s">
        <v>4</v>
      </c>
      <c r="M15" s="1" t="s">
        <v>4</v>
      </c>
      <c r="N15" s="1" t="s">
        <v>4</v>
      </c>
      <c r="O15" s="1" t="s">
        <v>3</v>
      </c>
      <c r="P15" s="1" t="s">
        <v>6</v>
      </c>
      <c r="Q15" s="1" t="s">
        <v>3</v>
      </c>
      <c r="R15" s="1" t="s">
        <v>4</v>
      </c>
      <c r="S15" s="1" t="s">
        <v>6</v>
      </c>
      <c r="T15" s="1" t="s">
        <v>4</v>
      </c>
      <c r="U15" s="1" t="s">
        <v>5</v>
      </c>
      <c r="V15" s="1" t="s">
        <v>4</v>
      </c>
      <c r="W15" s="1" t="s">
        <v>5</v>
      </c>
      <c r="X15" s="1" t="s">
        <v>6</v>
      </c>
      <c r="Y15" s="1" t="s">
        <v>5</v>
      </c>
      <c r="Z15" s="1" t="s">
        <v>3</v>
      </c>
      <c r="AA15" s="1" t="s">
        <v>5</v>
      </c>
      <c r="AB15" s="1" t="s">
        <v>6</v>
      </c>
      <c r="AC15" s="1" t="s">
        <v>6</v>
      </c>
      <c r="AD15" s="1" t="s">
        <v>4</v>
      </c>
      <c r="AE15" s="1" t="s">
        <v>4</v>
      </c>
      <c r="AF15" s="1" t="s">
        <v>6</v>
      </c>
      <c r="AG15" s="1" t="s">
        <v>3</v>
      </c>
      <c r="AH15" s="1" t="s">
        <v>6</v>
      </c>
      <c r="AI15" s="1" t="s">
        <v>6</v>
      </c>
      <c r="AJ15" s="1" t="s">
        <v>5</v>
      </c>
      <c r="AK15" s="1" t="s">
        <v>4</v>
      </c>
      <c r="AL15" s="1" t="s">
        <v>5</v>
      </c>
      <c r="AM15" s="1" t="s">
        <v>5</v>
      </c>
      <c r="AN15" s="1" t="s">
        <v>6</v>
      </c>
      <c r="AO15" s="1" t="s">
        <v>3</v>
      </c>
      <c r="AP15" s="1" t="s">
        <v>5</v>
      </c>
      <c r="AQ15" s="1" t="s">
        <v>5</v>
      </c>
      <c r="AR15" s="1" t="s">
        <v>6</v>
      </c>
      <c r="AS15" s="1" t="s">
        <v>3</v>
      </c>
      <c r="AT15" s="1" t="s">
        <v>3</v>
      </c>
      <c r="AU15" s="1" t="s">
        <v>6</v>
      </c>
      <c r="AV15" s="1" t="s">
        <v>4</v>
      </c>
      <c r="AW15" s="1" t="s">
        <v>5</v>
      </c>
      <c r="AX15" s="1" t="s">
        <v>4</v>
      </c>
      <c r="AY15" s="1" t="s">
        <v>5</v>
      </c>
      <c r="AZ15" s="1" t="s">
        <v>6</v>
      </c>
      <c r="BA15" s="1" t="s">
        <v>5</v>
      </c>
      <c r="BB15" s="1" t="s">
        <v>4</v>
      </c>
      <c r="BC15" s="1" t="s">
        <v>4</v>
      </c>
      <c r="BD15" s="1" t="s">
        <v>3</v>
      </c>
      <c r="BE15" s="1" t="s">
        <v>4</v>
      </c>
      <c r="BF15" s="1" t="s">
        <v>5</v>
      </c>
      <c r="BG15" s="1" t="s">
        <v>3</v>
      </c>
      <c r="BH15" s="1" t="s">
        <v>5</v>
      </c>
      <c r="BJ15" s="5" t="s">
        <v>160</v>
      </c>
      <c r="BK15">
        <v>48</v>
      </c>
    </row>
    <row r="16" spans="1:63" x14ac:dyDescent="0.2">
      <c r="A16" s="11">
        <v>490011</v>
      </c>
      <c r="B16" s="12" t="s">
        <v>63</v>
      </c>
      <c r="C16" s="13">
        <v>43957</v>
      </c>
      <c r="D16" t="s">
        <v>64</v>
      </c>
      <c r="E16" s="1" cm="1">
        <f t="array" ref="E16">SUMPRODUCT(--(K16:BH16=$K$5:$BH$5))</f>
        <v>16</v>
      </c>
      <c r="F16" s="10">
        <f t="shared" si="0"/>
        <v>32</v>
      </c>
      <c r="G16" s="1" cm="1">
        <f t="array" ref="G16">SUMPRODUCT(--(K16:BH16=$K$5:$BH$5), --($K$3:$BH$3=1))</f>
        <v>6</v>
      </c>
      <c r="H16" s="9">
        <f t="shared" si="1"/>
        <v>42.857142857142854</v>
      </c>
      <c r="I16" s="1" cm="1">
        <f t="array" ref="I16">SUMPRODUCT(--(K16:BH16=$K$5:$BH$5), --($K$3:$BH$3=2))</f>
        <v>8</v>
      </c>
      <c r="J16" s="9">
        <f t="shared" si="2"/>
        <v>26.666666666666668</v>
      </c>
      <c r="K16" s="1" t="s">
        <v>4</v>
      </c>
      <c r="L16" s="1" t="s">
        <v>3</v>
      </c>
      <c r="M16" s="1" t="s">
        <v>3</v>
      </c>
      <c r="N16" s="1" t="s">
        <v>4</v>
      </c>
      <c r="O16" s="1" t="s">
        <v>3</v>
      </c>
      <c r="P16" s="1" t="s">
        <v>6</v>
      </c>
      <c r="Q16" s="1" t="s">
        <v>3</v>
      </c>
      <c r="R16" s="1" t="s">
        <v>6</v>
      </c>
      <c r="S16" s="1" t="s">
        <v>3</v>
      </c>
      <c r="T16" s="1" t="s">
        <v>4</v>
      </c>
      <c r="U16" s="1" t="s">
        <v>5</v>
      </c>
      <c r="V16" s="1" t="s">
        <v>4</v>
      </c>
      <c r="W16" s="1" t="s">
        <v>4</v>
      </c>
      <c r="X16" s="1" t="s">
        <v>5</v>
      </c>
      <c r="Y16" s="1" t="s">
        <v>6</v>
      </c>
      <c r="Z16" s="1" t="s">
        <v>5</v>
      </c>
      <c r="AA16" s="1" t="s">
        <v>6</v>
      </c>
      <c r="AB16" s="1" t="s">
        <v>3</v>
      </c>
      <c r="AC16" s="1" t="s">
        <v>5</v>
      </c>
      <c r="AD16" s="1" t="s">
        <v>3</v>
      </c>
      <c r="AE16" s="1" t="s">
        <v>5</v>
      </c>
      <c r="AF16" s="1" t="s">
        <v>6</v>
      </c>
      <c r="AG16" s="1" t="s">
        <v>3</v>
      </c>
      <c r="AH16" s="1" t="s">
        <v>4</v>
      </c>
      <c r="AI16" s="1" t="s">
        <v>6</v>
      </c>
      <c r="AJ16" s="1" t="s">
        <v>3</v>
      </c>
      <c r="AK16" s="1" t="s">
        <v>5</v>
      </c>
      <c r="AL16" s="1" t="s">
        <v>3</v>
      </c>
      <c r="AM16" s="1" t="s">
        <v>4</v>
      </c>
      <c r="AN16" s="1" t="s">
        <v>5</v>
      </c>
      <c r="AO16" s="1" t="s">
        <v>5</v>
      </c>
      <c r="AP16" s="1" t="s">
        <v>3</v>
      </c>
      <c r="AQ16" s="1" t="s">
        <v>4</v>
      </c>
      <c r="AR16" s="1" t="s">
        <v>4</v>
      </c>
      <c r="AS16" s="1" t="s">
        <v>4</v>
      </c>
      <c r="AT16" s="1" t="s">
        <v>6</v>
      </c>
      <c r="AU16" s="1" t="s">
        <v>6</v>
      </c>
      <c r="AV16" s="1" t="s">
        <v>6</v>
      </c>
      <c r="AW16" s="1" t="s">
        <v>5</v>
      </c>
      <c r="AX16" s="1" t="s">
        <v>6</v>
      </c>
      <c r="AY16" s="1" t="s">
        <v>5</v>
      </c>
      <c r="AZ16" s="1" t="s">
        <v>5</v>
      </c>
      <c r="BA16" s="1" t="s">
        <v>5</v>
      </c>
      <c r="BB16" s="1" t="s">
        <v>4</v>
      </c>
      <c r="BC16" s="1" t="s">
        <v>3</v>
      </c>
      <c r="BD16" s="1" t="s">
        <v>3</v>
      </c>
      <c r="BE16" s="1" t="s">
        <v>3</v>
      </c>
      <c r="BF16" s="1" t="s">
        <v>6</v>
      </c>
      <c r="BG16" s="1" t="s">
        <v>6</v>
      </c>
      <c r="BH16" s="1" t="s">
        <v>5</v>
      </c>
    </row>
    <row r="17" spans="1:60" x14ac:dyDescent="0.2">
      <c r="A17" s="11">
        <v>871988</v>
      </c>
      <c r="B17" s="12" t="s">
        <v>87</v>
      </c>
      <c r="C17" s="13">
        <v>43957</v>
      </c>
      <c r="D17" t="s">
        <v>88</v>
      </c>
      <c r="E17" s="1" cm="1">
        <f t="array" ref="E17">SUMPRODUCT(--(K17:BH17=$K$5:$BH$5))</f>
        <v>16</v>
      </c>
      <c r="F17" s="10">
        <f t="shared" si="0"/>
        <v>32</v>
      </c>
      <c r="G17" s="1" cm="1">
        <f t="array" ref="G17">SUMPRODUCT(--(K17:BH17=$K$5:$BH$5), --($K$3:$BH$3=1))</f>
        <v>3</v>
      </c>
      <c r="H17" s="9">
        <f t="shared" si="1"/>
        <v>21.428571428571427</v>
      </c>
      <c r="I17" s="1" cm="1">
        <f t="array" ref="I17">SUMPRODUCT(--(K17:BH17=$K$5:$BH$5), --($K$3:$BH$3=2))</f>
        <v>12</v>
      </c>
      <c r="J17" s="9">
        <f t="shared" si="2"/>
        <v>40</v>
      </c>
      <c r="K17" s="1" t="s">
        <v>4</v>
      </c>
      <c r="L17" s="1" t="s">
        <v>3</v>
      </c>
      <c r="M17" s="1" t="s">
        <v>5</v>
      </c>
      <c r="N17" s="1" t="s">
        <v>6</v>
      </c>
      <c r="O17" s="1" t="s">
        <v>6</v>
      </c>
      <c r="P17" s="1" t="s">
        <v>3</v>
      </c>
      <c r="Q17" s="1" t="s">
        <v>6</v>
      </c>
      <c r="R17" s="1" t="s">
        <v>4</v>
      </c>
      <c r="S17" s="1" t="s">
        <v>6</v>
      </c>
      <c r="T17" s="1" t="s">
        <v>6</v>
      </c>
      <c r="U17" s="1" t="s">
        <v>4</v>
      </c>
      <c r="V17" s="1" t="s">
        <v>5</v>
      </c>
      <c r="W17" s="1" t="s">
        <v>3</v>
      </c>
      <c r="X17" s="1" t="s">
        <v>3</v>
      </c>
      <c r="Y17" s="1" t="s">
        <v>6</v>
      </c>
      <c r="Z17" s="1" t="s">
        <v>6</v>
      </c>
      <c r="AA17" s="1" t="s">
        <v>5</v>
      </c>
      <c r="AB17" s="1" t="s">
        <v>3</v>
      </c>
      <c r="AC17" s="1" t="s">
        <v>6</v>
      </c>
      <c r="AD17" s="1" t="s">
        <v>4</v>
      </c>
      <c r="AE17" s="1" t="s">
        <v>3</v>
      </c>
      <c r="AF17" s="1" t="s">
        <v>5</v>
      </c>
      <c r="AG17" s="1" t="s">
        <v>5</v>
      </c>
      <c r="AH17" s="1" t="s">
        <v>6</v>
      </c>
      <c r="AI17" s="1" t="s">
        <v>3</v>
      </c>
      <c r="AJ17" s="1" t="s">
        <v>3</v>
      </c>
      <c r="AK17" s="1" t="s">
        <v>6</v>
      </c>
      <c r="AL17" s="1" t="s">
        <v>3</v>
      </c>
      <c r="AM17" s="1" t="s">
        <v>6</v>
      </c>
      <c r="AN17" s="1" t="s">
        <v>3</v>
      </c>
      <c r="AO17" s="1" t="s">
        <v>4</v>
      </c>
      <c r="AP17" s="1" t="s">
        <v>3</v>
      </c>
      <c r="AQ17" s="1" t="s">
        <v>5</v>
      </c>
      <c r="AR17" s="1" t="s">
        <v>4</v>
      </c>
      <c r="AS17" s="1" t="s">
        <v>3</v>
      </c>
      <c r="AT17" s="1" t="s">
        <v>6</v>
      </c>
      <c r="AU17" s="1" t="s">
        <v>5</v>
      </c>
      <c r="AV17" s="1" t="s">
        <v>5</v>
      </c>
      <c r="AW17" s="1" t="s">
        <v>4</v>
      </c>
      <c r="AX17" s="1" t="s">
        <v>6</v>
      </c>
      <c r="AY17" s="1" t="s">
        <v>5</v>
      </c>
      <c r="AZ17" s="1" t="s">
        <v>3</v>
      </c>
      <c r="BA17" s="1" t="s">
        <v>4</v>
      </c>
      <c r="BB17" s="1" t="s">
        <v>6</v>
      </c>
      <c r="BC17" s="1" t="s">
        <v>3</v>
      </c>
      <c r="BD17" s="1" t="s">
        <v>5</v>
      </c>
      <c r="BE17" s="1" t="s">
        <v>6</v>
      </c>
      <c r="BF17" s="1" t="s">
        <v>6</v>
      </c>
      <c r="BG17" s="1" t="s">
        <v>3</v>
      </c>
      <c r="BH17" s="1" t="s">
        <v>4</v>
      </c>
    </row>
    <row r="18" spans="1:60" x14ac:dyDescent="0.2">
      <c r="A18" s="11">
        <v>1028207</v>
      </c>
      <c r="B18" s="12" t="s">
        <v>143</v>
      </c>
      <c r="C18" s="13">
        <v>43957</v>
      </c>
      <c r="D18" t="s">
        <v>144</v>
      </c>
      <c r="E18" s="1" cm="1">
        <f t="array" ref="E18">SUMPRODUCT(--(K18:BH18=$K$5:$BH$5))</f>
        <v>15</v>
      </c>
      <c r="F18" s="10">
        <f t="shared" si="0"/>
        <v>30</v>
      </c>
      <c r="G18" s="1" cm="1">
        <f t="array" ref="G18">SUMPRODUCT(--(K18:BH18=$K$5:$BH$5), --($K$3:$BH$3=1))</f>
        <v>5</v>
      </c>
      <c r="H18" s="9">
        <f t="shared" si="1"/>
        <v>35.714285714285715</v>
      </c>
      <c r="I18" s="1" cm="1">
        <f t="array" ref="I18">SUMPRODUCT(--(K18:BH18=$K$5:$BH$5), --($K$3:$BH$3=2))</f>
        <v>7</v>
      </c>
      <c r="J18" s="9">
        <f t="shared" si="2"/>
        <v>23.333333333333332</v>
      </c>
      <c r="K18" s="1" t="s">
        <v>6</v>
      </c>
      <c r="L18" s="1" t="s">
        <v>3</v>
      </c>
      <c r="M18" s="1" t="s">
        <v>3</v>
      </c>
      <c r="N18" s="1" t="s">
        <v>6</v>
      </c>
      <c r="O18" s="1" t="s">
        <v>3</v>
      </c>
      <c r="P18" s="1" t="s">
        <v>3</v>
      </c>
      <c r="Q18" s="1" t="s">
        <v>6</v>
      </c>
      <c r="R18" s="1" t="s">
        <v>6</v>
      </c>
      <c r="S18" s="1" t="s">
        <v>3</v>
      </c>
      <c r="T18" s="1" t="s">
        <v>4</v>
      </c>
      <c r="U18" s="1" t="s">
        <v>5</v>
      </c>
      <c r="V18" s="1" t="s">
        <v>4</v>
      </c>
      <c r="W18" s="1" t="s">
        <v>4</v>
      </c>
      <c r="X18" s="1" t="s">
        <v>5</v>
      </c>
      <c r="Y18" s="1" t="s">
        <v>4</v>
      </c>
      <c r="Z18" s="1" t="s">
        <v>5</v>
      </c>
      <c r="AA18" s="1" t="s">
        <v>5</v>
      </c>
      <c r="AB18" s="1" t="s">
        <v>4</v>
      </c>
      <c r="AC18" s="1" t="s">
        <v>6</v>
      </c>
      <c r="AD18" s="1" t="s">
        <v>6</v>
      </c>
      <c r="AE18" s="1" t="s">
        <v>5</v>
      </c>
      <c r="AF18" s="1" t="s">
        <v>3</v>
      </c>
      <c r="AG18" s="1" t="s">
        <v>3</v>
      </c>
      <c r="AH18" s="1" t="s">
        <v>6</v>
      </c>
      <c r="AI18" s="1" t="s">
        <v>4</v>
      </c>
      <c r="AJ18" s="1" t="s">
        <v>4</v>
      </c>
      <c r="AK18" s="1" t="s">
        <v>6</v>
      </c>
      <c r="AL18" s="1" t="s">
        <v>5</v>
      </c>
      <c r="AM18" s="1" t="s">
        <v>5</v>
      </c>
      <c r="AN18" s="1" t="s">
        <v>4</v>
      </c>
      <c r="AO18" s="1" t="s">
        <v>4</v>
      </c>
      <c r="AP18" s="1" t="s">
        <v>5</v>
      </c>
      <c r="AQ18" s="1" t="s">
        <v>5</v>
      </c>
      <c r="AR18" s="1" t="s">
        <v>6</v>
      </c>
      <c r="AS18" s="1" t="s">
        <v>2</v>
      </c>
      <c r="AT18" s="1" t="s">
        <v>2</v>
      </c>
      <c r="AU18" s="1" t="s">
        <v>6</v>
      </c>
      <c r="AV18" s="1" t="s">
        <v>6</v>
      </c>
      <c r="AW18" s="1" t="s">
        <v>5</v>
      </c>
      <c r="AX18" s="1" t="s">
        <v>4</v>
      </c>
      <c r="AY18" s="1" t="s">
        <v>5</v>
      </c>
      <c r="AZ18" s="1" t="s">
        <v>6</v>
      </c>
      <c r="BA18" s="1" t="s">
        <v>5</v>
      </c>
      <c r="BB18" s="1" t="s">
        <v>6</v>
      </c>
      <c r="BC18" s="1" t="s">
        <v>4</v>
      </c>
      <c r="BD18" s="1" t="s">
        <v>5</v>
      </c>
      <c r="BE18" s="1" t="s">
        <v>5</v>
      </c>
      <c r="BF18" s="1" t="s">
        <v>4</v>
      </c>
      <c r="BG18" s="1" t="s">
        <v>3</v>
      </c>
      <c r="BH18" s="1" t="s">
        <v>6</v>
      </c>
    </row>
    <row r="19" spans="1:60" x14ac:dyDescent="0.2">
      <c r="A19" s="11">
        <v>345856</v>
      </c>
      <c r="B19" s="12" t="s">
        <v>61</v>
      </c>
      <c r="C19" s="13">
        <v>43957</v>
      </c>
      <c r="D19" t="s">
        <v>62</v>
      </c>
      <c r="E19" s="1" cm="1">
        <f t="array" ref="E19">SUMPRODUCT(--(K19:BH19=$K$5:$BH$5))</f>
        <v>25</v>
      </c>
      <c r="F19" s="10">
        <f t="shared" si="0"/>
        <v>50</v>
      </c>
      <c r="G19" s="1" cm="1">
        <f t="array" ref="G19">SUMPRODUCT(--(K19:BH19=$K$5:$BH$5), --($K$3:$BH$3=1))</f>
        <v>6</v>
      </c>
      <c r="H19" s="9">
        <f t="shared" si="1"/>
        <v>42.857142857142854</v>
      </c>
      <c r="I19" s="1" cm="1">
        <f t="array" ref="I19">SUMPRODUCT(--(K19:BH19=$K$5:$BH$5), --($K$3:$BH$3=2))</f>
        <v>17</v>
      </c>
      <c r="J19" s="9">
        <f t="shared" si="2"/>
        <v>56.666666666666664</v>
      </c>
      <c r="K19" s="1" t="s">
        <v>3</v>
      </c>
      <c r="L19" s="1" t="s">
        <v>6</v>
      </c>
      <c r="M19" s="1" t="s">
        <v>3</v>
      </c>
      <c r="N19" s="1" t="s">
        <v>3</v>
      </c>
      <c r="O19" s="1" t="s">
        <v>3</v>
      </c>
      <c r="P19" s="1" t="s">
        <v>3</v>
      </c>
      <c r="Q19" s="1" t="s">
        <v>4</v>
      </c>
      <c r="R19" s="1" t="s">
        <v>4</v>
      </c>
      <c r="S19" s="1" t="s">
        <v>6</v>
      </c>
      <c r="T19" s="1" t="s">
        <v>4</v>
      </c>
      <c r="U19" s="1" t="s">
        <v>6</v>
      </c>
      <c r="V19" s="1" t="s">
        <v>4</v>
      </c>
      <c r="W19" s="1" t="s">
        <v>4</v>
      </c>
      <c r="X19" s="1" t="s">
        <v>3</v>
      </c>
      <c r="Y19" s="1" t="s">
        <v>5</v>
      </c>
      <c r="Z19" s="1" t="s">
        <v>6</v>
      </c>
      <c r="AA19" s="1" t="s">
        <v>3</v>
      </c>
      <c r="AB19" s="1" t="s">
        <v>5</v>
      </c>
      <c r="AC19" s="1" t="s">
        <v>6</v>
      </c>
      <c r="AD19" s="1" t="s">
        <v>4</v>
      </c>
      <c r="AE19" s="1" t="s">
        <v>4</v>
      </c>
      <c r="AF19" s="1" t="s">
        <v>3</v>
      </c>
      <c r="AG19" s="1" t="s">
        <v>3</v>
      </c>
      <c r="AH19" s="1" t="s">
        <v>6</v>
      </c>
      <c r="AI19" s="1" t="s">
        <v>4</v>
      </c>
      <c r="AJ19" s="1" t="s">
        <v>5</v>
      </c>
      <c r="AK19" s="1" t="s">
        <v>5</v>
      </c>
      <c r="AL19" s="1" t="s">
        <v>5</v>
      </c>
      <c r="AM19" s="1" t="s">
        <v>3</v>
      </c>
      <c r="AN19" s="1" t="s">
        <v>6</v>
      </c>
      <c r="AO19" s="1" t="s">
        <v>5</v>
      </c>
      <c r="AP19" s="1" t="s">
        <v>4</v>
      </c>
      <c r="AQ19" s="1" t="s">
        <v>5</v>
      </c>
      <c r="AR19" s="1" t="s">
        <v>4</v>
      </c>
      <c r="AS19" s="1" t="s">
        <v>5</v>
      </c>
      <c r="AT19" s="1" t="s">
        <v>6</v>
      </c>
      <c r="AU19" s="1" t="s">
        <v>4</v>
      </c>
      <c r="AV19" s="1" t="s">
        <v>6</v>
      </c>
      <c r="AW19" s="1" t="s">
        <v>3</v>
      </c>
      <c r="AX19" s="1" t="s">
        <v>3</v>
      </c>
      <c r="AY19" s="1" t="s">
        <v>5</v>
      </c>
      <c r="AZ19" s="1" t="s">
        <v>3</v>
      </c>
      <c r="BA19" s="1" t="s">
        <v>4</v>
      </c>
      <c r="BB19" s="1" t="s">
        <v>4</v>
      </c>
      <c r="BC19" s="1" t="s">
        <v>6</v>
      </c>
      <c r="BD19" s="1" t="s">
        <v>6</v>
      </c>
      <c r="BE19" s="1" t="s">
        <v>5</v>
      </c>
      <c r="BF19" s="1" t="s">
        <v>5</v>
      </c>
      <c r="BG19" s="1" t="s">
        <v>5</v>
      </c>
      <c r="BH19" s="1" t="s">
        <v>6</v>
      </c>
    </row>
    <row r="20" spans="1:60" x14ac:dyDescent="0.2">
      <c r="A20" s="11">
        <v>986455</v>
      </c>
      <c r="B20" s="12" t="s">
        <v>149</v>
      </c>
      <c r="C20" s="13">
        <v>43957</v>
      </c>
      <c r="D20" t="s">
        <v>150</v>
      </c>
      <c r="E20" s="1" cm="1">
        <f t="array" ref="E20">SUMPRODUCT(--(K20:BH20=$K$5:$BH$5))</f>
        <v>16</v>
      </c>
      <c r="F20" s="10">
        <f t="shared" si="0"/>
        <v>32</v>
      </c>
      <c r="G20" s="1" cm="1">
        <f t="array" ref="G20">SUMPRODUCT(--(K20:BH20=$K$5:$BH$5), --($K$3:$BH$3=1))</f>
        <v>5</v>
      </c>
      <c r="H20" s="9">
        <f t="shared" si="1"/>
        <v>35.714285714285715</v>
      </c>
      <c r="I20" s="1" cm="1">
        <f t="array" ref="I20">SUMPRODUCT(--(K20:BH20=$K$5:$BH$5), --($K$3:$BH$3=2))</f>
        <v>10</v>
      </c>
      <c r="J20" s="9">
        <f t="shared" si="2"/>
        <v>33.333333333333329</v>
      </c>
      <c r="K20" s="1" t="s">
        <v>3</v>
      </c>
      <c r="L20" s="1" t="s">
        <v>6</v>
      </c>
      <c r="M20" s="1" t="s">
        <v>5</v>
      </c>
      <c r="N20" s="1" t="s">
        <v>4</v>
      </c>
      <c r="O20" s="1" t="s">
        <v>6</v>
      </c>
      <c r="P20" s="1" t="s">
        <v>5</v>
      </c>
      <c r="Q20" s="1" t="s">
        <v>6</v>
      </c>
      <c r="R20" s="1" t="s">
        <v>4</v>
      </c>
      <c r="S20" s="1" t="s">
        <v>6</v>
      </c>
      <c r="T20" s="1" t="s">
        <v>6</v>
      </c>
      <c r="U20" s="1" t="s">
        <v>6</v>
      </c>
      <c r="V20" s="1" t="s">
        <v>4</v>
      </c>
      <c r="W20" s="1" t="s">
        <v>4</v>
      </c>
      <c r="X20" s="1" t="s">
        <v>4</v>
      </c>
      <c r="Y20" s="1" t="s">
        <v>6</v>
      </c>
      <c r="Z20" s="1" t="s">
        <v>3</v>
      </c>
      <c r="AA20" s="1" t="s">
        <v>6</v>
      </c>
      <c r="AB20" s="1" t="s">
        <v>6</v>
      </c>
      <c r="AC20" s="1" t="s">
        <v>5</v>
      </c>
      <c r="AD20" s="1" t="s">
        <v>6</v>
      </c>
      <c r="AE20" s="1" t="s">
        <v>6</v>
      </c>
      <c r="AF20" s="1" t="s">
        <v>6</v>
      </c>
      <c r="AG20" s="1" t="s">
        <v>6</v>
      </c>
      <c r="AH20" s="1" t="s">
        <v>6</v>
      </c>
      <c r="AI20" s="1" t="s">
        <v>3</v>
      </c>
      <c r="AJ20" s="1" t="s">
        <v>5</v>
      </c>
      <c r="AK20" s="1" t="s">
        <v>6</v>
      </c>
      <c r="AL20" s="1" t="s">
        <v>6</v>
      </c>
      <c r="AM20" s="1" t="s">
        <v>6</v>
      </c>
      <c r="AN20" s="1" t="s">
        <v>6</v>
      </c>
      <c r="AO20" s="1" t="s">
        <v>6</v>
      </c>
      <c r="AP20" s="1" t="s">
        <v>4</v>
      </c>
      <c r="AQ20" s="1" t="s">
        <v>5</v>
      </c>
      <c r="AR20" s="1" t="s">
        <v>6</v>
      </c>
      <c r="AS20" s="1" t="s">
        <v>6</v>
      </c>
      <c r="AT20" s="1" t="s">
        <v>6</v>
      </c>
      <c r="AU20" s="1" t="s">
        <v>6</v>
      </c>
      <c r="AV20" s="1" t="s">
        <v>5</v>
      </c>
      <c r="AW20" s="1" t="s">
        <v>6</v>
      </c>
      <c r="AX20" s="1" t="s">
        <v>6</v>
      </c>
      <c r="AY20" s="1" t="s">
        <v>3</v>
      </c>
      <c r="AZ20" s="1" t="s">
        <v>6</v>
      </c>
      <c r="BA20" s="1" t="s">
        <v>6</v>
      </c>
      <c r="BB20" s="1" t="s">
        <v>6</v>
      </c>
      <c r="BC20" s="1" t="s">
        <v>4</v>
      </c>
      <c r="BD20" s="1" t="s">
        <v>6</v>
      </c>
      <c r="BE20" s="1" t="s">
        <v>6</v>
      </c>
      <c r="BF20" s="1" t="s">
        <v>3</v>
      </c>
      <c r="BG20" s="1" t="s">
        <v>5</v>
      </c>
      <c r="BH20" s="1" t="s">
        <v>6</v>
      </c>
    </row>
    <row r="21" spans="1:60" x14ac:dyDescent="0.2">
      <c r="A21" s="11">
        <v>1047765</v>
      </c>
      <c r="B21" s="12" t="s">
        <v>135</v>
      </c>
      <c r="C21" s="13">
        <v>43957</v>
      </c>
      <c r="D21" t="s">
        <v>136</v>
      </c>
      <c r="E21" s="1" cm="1">
        <f t="array" ref="E21">SUMPRODUCT(--(K21:BH21=$K$5:$BH$5))</f>
        <v>15</v>
      </c>
      <c r="F21" s="10">
        <f t="shared" si="0"/>
        <v>30</v>
      </c>
      <c r="G21" s="1" cm="1">
        <f t="array" ref="G21">SUMPRODUCT(--(K21:BH21=$K$5:$BH$5), --($K$3:$BH$3=1))</f>
        <v>3</v>
      </c>
      <c r="H21" s="9">
        <f t="shared" si="1"/>
        <v>21.428571428571427</v>
      </c>
      <c r="I21" s="1" cm="1">
        <f t="array" ref="I21">SUMPRODUCT(--(K21:BH21=$K$5:$BH$5), --($K$3:$BH$3=2))</f>
        <v>10</v>
      </c>
      <c r="J21" s="9">
        <f t="shared" si="2"/>
        <v>33.333333333333329</v>
      </c>
      <c r="K21" s="1" t="s">
        <v>3</v>
      </c>
      <c r="L21" s="1" t="s">
        <v>5</v>
      </c>
      <c r="M21" s="1" t="s">
        <v>6</v>
      </c>
      <c r="N21" s="1" t="s">
        <v>3</v>
      </c>
      <c r="O21" s="1" t="s">
        <v>6</v>
      </c>
      <c r="P21" s="1" t="s">
        <v>4</v>
      </c>
      <c r="Q21" s="1" t="s">
        <v>5</v>
      </c>
      <c r="R21" s="1" t="s">
        <v>6</v>
      </c>
      <c r="S21" s="1" t="s">
        <v>4</v>
      </c>
      <c r="T21" s="1" t="s">
        <v>5</v>
      </c>
      <c r="U21" s="1" t="s">
        <v>6</v>
      </c>
      <c r="V21" s="1" t="s">
        <v>3</v>
      </c>
      <c r="W21" s="1" t="s">
        <v>4</v>
      </c>
      <c r="X21" s="1" t="s">
        <v>5</v>
      </c>
      <c r="Y21" s="1" t="s">
        <v>6</v>
      </c>
      <c r="Z21" s="1" t="s">
        <v>3</v>
      </c>
      <c r="AA21" s="1" t="s">
        <v>5</v>
      </c>
      <c r="AB21" s="1" t="s">
        <v>4</v>
      </c>
      <c r="AC21" s="1" t="s">
        <v>4</v>
      </c>
      <c r="AD21" s="1" t="s">
        <v>6</v>
      </c>
      <c r="AE21" s="1" t="s">
        <v>3</v>
      </c>
      <c r="AF21" s="1" t="s">
        <v>5</v>
      </c>
      <c r="AG21" s="1" t="s">
        <v>3</v>
      </c>
      <c r="AH21" s="1" t="s">
        <v>3</v>
      </c>
      <c r="AI21" s="1" t="s">
        <v>4</v>
      </c>
      <c r="AJ21" s="1" t="s">
        <v>4</v>
      </c>
      <c r="AK21" s="1" t="s">
        <v>5</v>
      </c>
      <c r="AL21" s="1" t="s">
        <v>4</v>
      </c>
      <c r="AM21" s="1" t="s">
        <v>6</v>
      </c>
      <c r="AN21" s="1" t="s">
        <v>5</v>
      </c>
      <c r="AO21" s="1" t="s">
        <v>3</v>
      </c>
      <c r="AP21" s="1" t="s">
        <v>4</v>
      </c>
      <c r="AQ21" s="1" t="s">
        <v>5</v>
      </c>
      <c r="AR21" s="1" t="s">
        <v>6</v>
      </c>
      <c r="AS21" s="1" t="s">
        <v>3</v>
      </c>
      <c r="AT21" s="1" t="s">
        <v>6</v>
      </c>
      <c r="AU21" s="1" t="s">
        <v>4</v>
      </c>
      <c r="AV21" s="1" t="s">
        <v>6</v>
      </c>
      <c r="AW21" s="1" t="s">
        <v>5</v>
      </c>
      <c r="AX21" s="1" t="s">
        <v>4</v>
      </c>
      <c r="AY21" s="1" t="s">
        <v>4</v>
      </c>
      <c r="AZ21" s="1" t="s">
        <v>3</v>
      </c>
      <c r="BA21" s="1" t="s">
        <v>6</v>
      </c>
      <c r="BB21" s="1" t="s">
        <v>5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3</v>
      </c>
      <c r="BH21" s="1" t="s">
        <v>6</v>
      </c>
    </row>
    <row r="22" spans="1:60" x14ac:dyDescent="0.2">
      <c r="A22" s="11">
        <v>1012960</v>
      </c>
      <c r="B22" s="12" t="s">
        <v>119</v>
      </c>
      <c r="C22" s="13">
        <v>43957</v>
      </c>
      <c r="D22" t="s">
        <v>120</v>
      </c>
      <c r="E22" s="1" cm="1">
        <f t="array" ref="E22">SUMPRODUCT(--(K22:BH22=$K$5:$BH$5))</f>
        <v>17</v>
      </c>
      <c r="F22" s="10">
        <f t="shared" si="0"/>
        <v>34</v>
      </c>
      <c r="G22" s="1" cm="1">
        <f t="array" ref="G22">SUMPRODUCT(--(K22:BH22=$K$5:$BH$5), --($K$3:$BH$3=1))</f>
        <v>3</v>
      </c>
      <c r="H22" s="9">
        <f t="shared" si="1"/>
        <v>21.428571428571427</v>
      </c>
      <c r="I22" s="1" cm="1">
        <f t="array" ref="I22">SUMPRODUCT(--(K22:BH22=$K$5:$BH$5), --($K$3:$BH$3=2))</f>
        <v>11</v>
      </c>
      <c r="J22" s="9">
        <f t="shared" si="2"/>
        <v>36.666666666666664</v>
      </c>
      <c r="K22" s="1" t="s">
        <v>3</v>
      </c>
      <c r="L22" s="1" t="s">
        <v>6</v>
      </c>
      <c r="M22" s="1" t="s">
        <v>4</v>
      </c>
      <c r="N22" s="1" t="s">
        <v>6</v>
      </c>
      <c r="O22" s="1" t="s">
        <v>5</v>
      </c>
      <c r="P22" s="1" t="s">
        <v>3</v>
      </c>
      <c r="Q22" s="1" t="s">
        <v>4</v>
      </c>
      <c r="R22" s="1" t="s">
        <v>4</v>
      </c>
      <c r="S22" s="1" t="s">
        <v>6</v>
      </c>
      <c r="T22" s="1" t="s">
        <v>4</v>
      </c>
      <c r="U22" s="1" t="s">
        <v>5</v>
      </c>
      <c r="V22" s="1" t="s">
        <v>4</v>
      </c>
      <c r="W22" s="1" t="s">
        <v>5</v>
      </c>
      <c r="X22" s="1" t="s">
        <v>3</v>
      </c>
      <c r="Y22" s="1" t="s">
        <v>5</v>
      </c>
      <c r="Z22" s="1" t="s">
        <v>3</v>
      </c>
      <c r="AA22" s="1" t="s">
        <v>4</v>
      </c>
      <c r="AB22" s="1" t="s">
        <v>4</v>
      </c>
      <c r="AC22" s="1" t="s">
        <v>3</v>
      </c>
      <c r="AD22" s="1" t="s">
        <v>5</v>
      </c>
      <c r="AE22" s="1" t="s">
        <v>4</v>
      </c>
      <c r="AF22" s="1" t="s">
        <v>6</v>
      </c>
      <c r="AG22" s="1" t="s">
        <v>3</v>
      </c>
      <c r="AH22" s="1" t="s">
        <v>3</v>
      </c>
      <c r="AI22" s="1" t="s">
        <v>4</v>
      </c>
      <c r="AJ22" s="1" t="s">
        <v>5</v>
      </c>
      <c r="AK22" s="1" t="s">
        <v>4</v>
      </c>
      <c r="AL22" s="1" t="s">
        <v>4</v>
      </c>
      <c r="AM22" s="1" t="s">
        <v>3</v>
      </c>
      <c r="AN22" s="1" t="s">
        <v>6</v>
      </c>
      <c r="AO22" s="1" t="s">
        <v>5</v>
      </c>
      <c r="AP22" s="1" t="s">
        <v>4</v>
      </c>
      <c r="AQ22" s="1" t="s">
        <v>5</v>
      </c>
      <c r="AR22" s="1" t="s">
        <v>4</v>
      </c>
      <c r="AS22" s="1" t="s">
        <v>4</v>
      </c>
      <c r="AT22" s="1" t="s">
        <v>6</v>
      </c>
      <c r="AU22" s="1" t="s">
        <v>3</v>
      </c>
      <c r="AV22" s="1" t="s">
        <v>6</v>
      </c>
      <c r="AW22" s="1" t="s">
        <v>6</v>
      </c>
      <c r="AX22" s="1" t="s">
        <v>4</v>
      </c>
      <c r="AY22" s="1" t="s">
        <v>4</v>
      </c>
      <c r="AZ22" s="1" t="s">
        <v>5</v>
      </c>
      <c r="BA22" s="1" t="s">
        <v>3</v>
      </c>
      <c r="BB22" s="1" t="s">
        <v>5</v>
      </c>
      <c r="BC22" s="1" t="s">
        <v>4</v>
      </c>
      <c r="BD22" s="1" t="s">
        <v>3</v>
      </c>
      <c r="BE22" s="1" t="s">
        <v>5</v>
      </c>
      <c r="BF22" s="1" t="s">
        <v>5</v>
      </c>
      <c r="BG22" s="1" t="s">
        <v>6</v>
      </c>
      <c r="BH22" s="1" t="s">
        <v>6</v>
      </c>
    </row>
    <row r="23" spans="1:60" x14ac:dyDescent="0.2">
      <c r="A23" s="11">
        <v>1039827</v>
      </c>
      <c r="B23" s="12" t="s">
        <v>129</v>
      </c>
      <c r="C23" s="13">
        <v>43957</v>
      </c>
      <c r="D23" t="s">
        <v>130</v>
      </c>
      <c r="E23" s="1" cm="1">
        <f t="array" ref="E23">SUMPRODUCT(--(K23:BH23=$K$5:$BH$5))</f>
        <v>20</v>
      </c>
      <c r="F23" s="10">
        <f t="shared" si="0"/>
        <v>40</v>
      </c>
      <c r="G23" s="1" cm="1">
        <f t="array" ref="G23">SUMPRODUCT(--(K23:BH23=$K$5:$BH$5), --($K$3:$BH$3=1))</f>
        <v>5</v>
      </c>
      <c r="H23" s="9">
        <f t="shared" si="1"/>
        <v>35.714285714285715</v>
      </c>
      <c r="I23" s="1" cm="1">
        <f t="array" ref="I23">SUMPRODUCT(--(K23:BH23=$K$5:$BH$5), --($K$3:$BH$3=2))</f>
        <v>11</v>
      </c>
      <c r="J23" s="9">
        <f t="shared" si="2"/>
        <v>36.666666666666664</v>
      </c>
      <c r="K23" s="1" t="s">
        <v>3</v>
      </c>
      <c r="L23" s="1" t="s">
        <v>4</v>
      </c>
      <c r="M23" s="1" t="s">
        <v>4</v>
      </c>
      <c r="N23" s="1" t="s">
        <v>4</v>
      </c>
      <c r="O23" s="1" t="s">
        <v>4</v>
      </c>
      <c r="P23" s="1" t="s">
        <v>6</v>
      </c>
      <c r="Q23" s="1" t="s">
        <v>3</v>
      </c>
      <c r="R23" s="1" t="s">
        <v>4</v>
      </c>
      <c r="S23" s="1" t="s">
        <v>6</v>
      </c>
      <c r="T23" s="1" t="s">
        <v>4</v>
      </c>
      <c r="U23" s="1" t="s">
        <v>5</v>
      </c>
      <c r="V23" s="1" t="s">
        <v>5</v>
      </c>
      <c r="W23" s="1" t="s">
        <v>6</v>
      </c>
      <c r="X23" s="1" t="s">
        <v>5</v>
      </c>
      <c r="Y23" s="1" t="s">
        <v>5</v>
      </c>
      <c r="Z23" s="1" t="s">
        <v>6</v>
      </c>
      <c r="AA23" s="1" t="s">
        <v>5</v>
      </c>
      <c r="AB23" s="1" t="s">
        <v>3</v>
      </c>
      <c r="AC23" s="1" t="s">
        <v>4</v>
      </c>
      <c r="AD23" s="1" t="s">
        <v>5</v>
      </c>
      <c r="AE23" s="1" t="s">
        <v>4</v>
      </c>
      <c r="AF23" s="1" t="s">
        <v>6</v>
      </c>
      <c r="AG23" s="1" t="s">
        <v>6</v>
      </c>
      <c r="AH23" s="1" t="s">
        <v>3</v>
      </c>
      <c r="AI23" s="1" t="s">
        <v>4</v>
      </c>
      <c r="AJ23" s="1" t="s">
        <v>3</v>
      </c>
      <c r="AK23" s="1" t="s">
        <v>6</v>
      </c>
      <c r="AL23" s="1" t="s">
        <v>4</v>
      </c>
      <c r="AM23" s="1" t="s">
        <v>3</v>
      </c>
      <c r="AN23" s="1" t="s">
        <v>4</v>
      </c>
      <c r="AO23" s="1" t="s">
        <v>5</v>
      </c>
      <c r="AP23" s="1" t="s">
        <v>5</v>
      </c>
      <c r="AQ23" s="1" t="s">
        <v>5</v>
      </c>
      <c r="AR23" s="1" t="s">
        <v>5</v>
      </c>
      <c r="AS23" s="1" t="s">
        <v>3</v>
      </c>
      <c r="AT23" s="1" t="s">
        <v>4</v>
      </c>
      <c r="AU23" s="1" t="s">
        <v>4</v>
      </c>
      <c r="AV23" s="1" t="s">
        <v>4</v>
      </c>
      <c r="AW23" s="1" t="s">
        <v>3</v>
      </c>
      <c r="AX23" s="1" t="s">
        <v>6</v>
      </c>
      <c r="AY23" s="1" t="s">
        <v>4</v>
      </c>
      <c r="AZ23" s="1" t="s">
        <v>4</v>
      </c>
      <c r="BA23" s="1" t="s">
        <v>5</v>
      </c>
      <c r="BB23" s="1" t="s">
        <v>3</v>
      </c>
      <c r="BC23" s="1" t="s">
        <v>3</v>
      </c>
      <c r="BD23" s="1" t="s">
        <v>3</v>
      </c>
      <c r="BE23" s="1" t="s">
        <v>5</v>
      </c>
      <c r="BF23" s="1" t="s">
        <v>6</v>
      </c>
      <c r="BG23" s="1" t="s">
        <v>6</v>
      </c>
      <c r="BH23" s="1" t="s">
        <v>5</v>
      </c>
    </row>
    <row r="24" spans="1:60" x14ac:dyDescent="0.2">
      <c r="A24" s="11">
        <v>1035199</v>
      </c>
      <c r="B24" s="12" t="s">
        <v>127</v>
      </c>
      <c r="C24" s="13">
        <v>43957</v>
      </c>
      <c r="D24" t="s">
        <v>128</v>
      </c>
      <c r="E24" s="1" cm="1">
        <f t="array" ref="E24">SUMPRODUCT(--(K24:BH24=$K$5:$BH$5))</f>
        <v>18</v>
      </c>
      <c r="F24" s="10">
        <f t="shared" si="0"/>
        <v>36</v>
      </c>
      <c r="G24" s="1" cm="1">
        <f t="array" ref="G24">SUMPRODUCT(--(K24:BH24=$K$5:$BH$5), --($K$3:$BH$3=1))</f>
        <v>4</v>
      </c>
      <c r="H24" s="9">
        <f t="shared" si="1"/>
        <v>28.571428571428569</v>
      </c>
      <c r="I24" s="1" cm="1">
        <f t="array" ref="I24">SUMPRODUCT(--(K24:BH24=$K$5:$BH$5), --($K$3:$BH$3=2))</f>
        <v>12</v>
      </c>
      <c r="J24" s="9">
        <f t="shared" si="2"/>
        <v>40</v>
      </c>
      <c r="K24" s="1" t="s">
        <v>3</v>
      </c>
      <c r="L24" s="1" t="s">
        <v>6</v>
      </c>
      <c r="M24" s="1" t="s">
        <v>3</v>
      </c>
      <c r="N24" s="1" t="s">
        <v>4</v>
      </c>
      <c r="O24" s="1" t="s">
        <v>5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6</v>
      </c>
      <c r="U24" s="1" t="s">
        <v>5</v>
      </c>
      <c r="V24" s="1" t="s">
        <v>4</v>
      </c>
      <c r="W24" s="1" t="s">
        <v>3</v>
      </c>
      <c r="X24" s="1" t="s">
        <v>6</v>
      </c>
      <c r="Y24" s="1" t="s">
        <v>6</v>
      </c>
      <c r="Z24" s="1" t="s">
        <v>3</v>
      </c>
      <c r="AA24" s="1" t="s">
        <v>5</v>
      </c>
      <c r="AB24" s="1" t="s">
        <v>3</v>
      </c>
      <c r="AC24" s="1" t="s">
        <v>6</v>
      </c>
      <c r="AD24" s="1" t="s">
        <v>4</v>
      </c>
      <c r="AE24" s="1" t="s">
        <v>4</v>
      </c>
      <c r="AF24" s="1" t="s">
        <v>6</v>
      </c>
      <c r="AG24" s="1" t="s">
        <v>5</v>
      </c>
      <c r="AH24" s="1" t="s">
        <v>6</v>
      </c>
      <c r="AI24" s="1" t="s">
        <v>4</v>
      </c>
      <c r="AJ24" s="1" t="s">
        <v>5</v>
      </c>
      <c r="AK24" s="1" t="s">
        <v>5</v>
      </c>
      <c r="AL24" s="1" t="s">
        <v>3</v>
      </c>
      <c r="AM24" s="1" t="s">
        <v>3</v>
      </c>
      <c r="AN24" s="1" t="s">
        <v>4</v>
      </c>
      <c r="AO24" s="1" t="s">
        <v>4</v>
      </c>
      <c r="AP24" s="1" t="s">
        <v>6</v>
      </c>
      <c r="AQ24" s="1" t="s">
        <v>5</v>
      </c>
      <c r="AR24" s="1" t="s">
        <v>6</v>
      </c>
      <c r="AS24" s="1" t="s">
        <v>3</v>
      </c>
      <c r="AT24" s="1" t="s">
        <v>6</v>
      </c>
      <c r="AU24" s="1" t="s">
        <v>5</v>
      </c>
      <c r="AV24" s="1" t="s">
        <v>5</v>
      </c>
      <c r="AW24" s="1" t="s">
        <v>3</v>
      </c>
      <c r="AX24" s="1" t="s">
        <v>6</v>
      </c>
      <c r="AY24" s="1" t="s">
        <v>5</v>
      </c>
      <c r="AZ24" s="1" t="s">
        <v>4</v>
      </c>
      <c r="BA24" s="1" t="s">
        <v>5</v>
      </c>
      <c r="BB24" s="1" t="s">
        <v>6</v>
      </c>
      <c r="BC24" s="1" t="s">
        <v>3</v>
      </c>
      <c r="BD24" s="1" t="s">
        <v>3</v>
      </c>
      <c r="BE24" s="1" t="s">
        <v>6</v>
      </c>
      <c r="BF24" s="1" t="s">
        <v>4</v>
      </c>
      <c r="BG24" s="1" t="s">
        <v>3</v>
      </c>
      <c r="BH24" s="1" t="s">
        <v>6</v>
      </c>
    </row>
    <row r="25" spans="1:60" x14ac:dyDescent="0.2">
      <c r="A25" s="11">
        <v>895473</v>
      </c>
      <c r="B25" s="12" t="s">
        <v>95</v>
      </c>
      <c r="C25" s="13">
        <v>43957</v>
      </c>
      <c r="D25" t="s">
        <v>96</v>
      </c>
      <c r="E25" s="1" cm="1">
        <f t="array" ref="E25">SUMPRODUCT(--(K25:BH25=$K$5:$BH$5))</f>
        <v>17</v>
      </c>
      <c r="F25" s="10">
        <f t="shared" si="0"/>
        <v>34</v>
      </c>
      <c r="G25" s="1" cm="1">
        <f t="array" ref="G25">SUMPRODUCT(--(K25:BH25=$K$5:$BH$5), --($K$3:$BH$3=1))</f>
        <v>3</v>
      </c>
      <c r="H25" s="9">
        <f t="shared" si="1"/>
        <v>21.428571428571427</v>
      </c>
      <c r="I25" s="1" cm="1">
        <f t="array" ref="I25">SUMPRODUCT(--(K25:BH25=$K$5:$BH$5), --($K$3:$BH$3=2))</f>
        <v>13</v>
      </c>
      <c r="J25" s="9">
        <f t="shared" si="2"/>
        <v>43.333333333333336</v>
      </c>
      <c r="K25" s="1" t="s">
        <v>3</v>
      </c>
      <c r="L25" s="1" t="s">
        <v>6</v>
      </c>
      <c r="M25" s="1" t="s">
        <v>5</v>
      </c>
      <c r="N25" s="1" t="s">
        <v>5</v>
      </c>
      <c r="O25" s="1" t="s">
        <v>5</v>
      </c>
      <c r="P25" s="1" t="s">
        <v>3</v>
      </c>
      <c r="Q25" s="1" t="s">
        <v>5</v>
      </c>
      <c r="R25" s="1" t="s">
        <v>4</v>
      </c>
      <c r="S25" s="1" t="s">
        <v>6</v>
      </c>
      <c r="T25" s="1" t="s">
        <v>4</v>
      </c>
      <c r="U25" s="1" t="s">
        <v>5</v>
      </c>
      <c r="V25" s="1" t="s">
        <v>4</v>
      </c>
      <c r="W25" s="1" t="s">
        <v>4</v>
      </c>
      <c r="X25" s="1" t="s">
        <v>5</v>
      </c>
      <c r="Y25" s="1" t="s">
        <v>6</v>
      </c>
      <c r="Z25" s="1" t="s">
        <v>3</v>
      </c>
      <c r="AA25" s="1" t="s">
        <v>5</v>
      </c>
      <c r="AB25" s="1" t="s">
        <v>5</v>
      </c>
      <c r="AC25" s="1" t="s">
        <v>6</v>
      </c>
      <c r="AD25" s="1" t="s">
        <v>4</v>
      </c>
      <c r="AE25" s="1" t="s">
        <v>6</v>
      </c>
      <c r="AF25" s="1" t="s">
        <v>4</v>
      </c>
      <c r="AG25" s="1" t="s">
        <v>4</v>
      </c>
      <c r="AH25" s="1" t="s">
        <v>6</v>
      </c>
      <c r="AI25" s="1" t="s">
        <v>4</v>
      </c>
      <c r="AJ25" s="1" t="s">
        <v>5</v>
      </c>
      <c r="AK25" s="1" t="s">
        <v>4</v>
      </c>
      <c r="AL25" s="1" t="s">
        <v>6</v>
      </c>
      <c r="AM25" s="1" t="s">
        <v>6</v>
      </c>
      <c r="AN25" s="1" t="s">
        <v>5</v>
      </c>
      <c r="AO25" s="1" t="s">
        <v>6</v>
      </c>
      <c r="AP25" s="1" t="s">
        <v>6</v>
      </c>
      <c r="AQ25" s="1" t="s">
        <v>5</v>
      </c>
      <c r="AR25" s="1" t="s">
        <v>3</v>
      </c>
      <c r="AS25" s="1" t="s">
        <v>3</v>
      </c>
      <c r="AT25" s="1" t="s">
        <v>6</v>
      </c>
      <c r="AU25" s="1" t="s">
        <v>4</v>
      </c>
      <c r="AV25" s="1" t="s">
        <v>6</v>
      </c>
      <c r="AW25" s="1" t="s">
        <v>6</v>
      </c>
      <c r="AX25" s="1" t="s">
        <v>5</v>
      </c>
      <c r="AY25" s="1" t="s">
        <v>4</v>
      </c>
      <c r="AZ25" s="1" t="s">
        <v>3</v>
      </c>
      <c r="BA25" s="1" t="s">
        <v>3</v>
      </c>
      <c r="BB25" s="1" t="s">
        <v>4</v>
      </c>
      <c r="BC25" s="1" t="s">
        <v>5</v>
      </c>
      <c r="BD25" s="1" t="s">
        <v>5</v>
      </c>
      <c r="BE25" s="1" t="s">
        <v>6</v>
      </c>
      <c r="BF25" s="1" t="s">
        <v>2</v>
      </c>
      <c r="BG25" s="1" t="s">
        <v>5</v>
      </c>
      <c r="BH25" s="1" t="s">
        <v>5</v>
      </c>
    </row>
    <row r="26" spans="1:60" x14ac:dyDescent="0.2">
      <c r="A26" s="11">
        <v>523330</v>
      </c>
      <c r="B26" s="12" t="s">
        <v>65</v>
      </c>
      <c r="C26" s="13">
        <v>43957</v>
      </c>
      <c r="D26" t="s">
        <v>66</v>
      </c>
      <c r="E26" s="1" cm="1">
        <f t="array" ref="E26">SUMPRODUCT(--(K26:BH26=$K$5:$BH$5))</f>
        <v>21</v>
      </c>
      <c r="F26" s="10">
        <f t="shared" si="0"/>
        <v>42</v>
      </c>
      <c r="G26" s="1" cm="1">
        <f t="array" ref="G26">SUMPRODUCT(--(K26:BH26=$K$5:$BH$5), --($K$3:$BH$3=1))</f>
        <v>8</v>
      </c>
      <c r="H26" s="9">
        <f t="shared" si="1"/>
        <v>57.142857142857139</v>
      </c>
      <c r="I26" s="1" cm="1">
        <f t="array" ref="I26">SUMPRODUCT(--(K26:BH26=$K$5:$BH$5), --($K$3:$BH$3=2))</f>
        <v>11</v>
      </c>
      <c r="J26" s="9">
        <f t="shared" si="2"/>
        <v>36.666666666666664</v>
      </c>
      <c r="K26" s="1" t="s">
        <v>3</v>
      </c>
      <c r="L26" s="1" t="s">
        <v>4</v>
      </c>
      <c r="M26" s="1" t="s">
        <v>5</v>
      </c>
      <c r="N26" s="1" t="s">
        <v>6</v>
      </c>
      <c r="O26" s="1" t="s">
        <v>4</v>
      </c>
      <c r="P26" s="1" t="s">
        <v>6</v>
      </c>
      <c r="Q26" s="1" t="s">
        <v>6</v>
      </c>
      <c r="R26" s="1" t="s">
        <v>4</v>
      </c>
      <c r="S26" s="1" t="s">
        <v>6</v>
      </c>
      <c r="T26" s="1" t="s">
        <v>6</v>
      </c>
      <c r="U26" s="1" t="s">
        <v>5</v>
      </c>
      <c r="V26" s="1" t="s">
        <v>4</v>
      </c>
      <c r="W26" s="1" t="s">
        <v>4</v>
      </c>
      <c r="X26" s="1" t="s">
        <v>5</v>
      </c>
      <c r="Y26" s="1" t="s">
        <v>6</v>
      </c>
      <c r="Z26" s="1" t="s">
        <v>6</v>
      </c>
      <c r="AA26" s="1" t="s">
        <v>3</v>
      </c>
      <c r="AB26" s="1" t="s">
        <v>3</v>
      </c>
      <c r="AC26" s="1" t="s">
        <v>6</v>
      </c>
      <c r="AD26" s="1" t="s">
        <v>5</v>
      </c>
      <c r="AE26" s="1" t="s">
        <v>4</v>
      </c>
      <c r="AF26" s="1" t="s">
        <v>4</v>
      </c>
      <c r="AG26" s="1" t="s">
        <v>3</v>
      </c>
      <c r="AH26" s="1" t="s">
        <v>6</v>
      </c>
      <c r="AI26" s="1" t="s">
        <v>6</v>
      </c>
      <c r="AJ26" s="1" t="s">
        <v>3</v>
      </c>
      <c r="AK26" s="1" t="s">
        <v>5</v>
      </c>
      <c r="AL26" s="1" t="s">
        <v>6</v>
      </c>
      <c r="AM26" s="1" t="s">
        <v>3</v>
      </c>
      <c r="AN26" s="1" t="s">
        <v>5</v>
      </c>
      <c r="AO26" s="1" t="s">
        <v>4</v>
      </c>
      <c r="AP26" s="1" t="s">
        <v>6</v>
      </c>
      <c r="AQ26" s="1" t="s">
        <v>5</v>
      </c>
      <c r="AR26" s="1" t="s">
        <v>6</v>
      </c>
      <c r="AS26" s="1" t="s">
        <v>3</v>
      </c>
      <c r="AT26" s="1" t="s">
        <v>6</v>
      </c>
      <c r="AU26" s="1" t="s">
        <v>6</v>
      </c>
      <c r="AV26" s="1" t="s">
        <v>4</v>
      </c>
      <c r="AW26" s="1" t="s">
        <v>6</v>
      </c>
      <c r="AX26" s="1" t="s">
        <v>6</v>
      </c>
      <c r="AY26" s="1" t="s">
        <v>4</v>
      </c>
      <c r="AZ26" s="1" t="s">
        <v>6</v>
      </c>
      <c r="BA26" s="1" t="s">
        <v>5</v>
      </c>
      <c r="BB26" s="1" t="s">
        <v>4</v>
      </c>
      <c r="BC26" s="1" t="s">
        <v>4</v>
      </c>
      <c r="BD26" s="1" t="s">
        <v>3</v>
      </c>
      <c r="BE26" s="1" t="s">
        <v>5</v>
      </c>
      <c r="BF26" s="1" t="s">
        <v>4</v>
      </c>
      <c r="BG26" s="1" t="s">
        <v>5</v>
      </c>
      <c r="BH26" s="1" t="s">
        <v>6</v>
      </c>
    </row>
    <row r="27" spans="1:60" x14ac:dyDescent="0.2">
      <c r="A27" s="11">
        <v>964444</v>
      </c>
      <c r="B27" s="12" t="s">
        <v>107</v>
      </c>
      <c r="C27" s="13">
        <v>43957</v>
      </c>
      <c r="D27" t="s">
        <v>108</v>
      </c>
      <c r="E27" s="1" cm="1">
        <f t="array" ref="E27">SUMPRODUCT(--(K27:BH27=$K$5:$BH$5))</f>
        <v>39</v>
      </c>
      <c r="F27" s="10">
        <f t="shared" si="0"/>
        <v>78</v>
      </c>
      <c r="G27" s="1" cm="1">
        <f t="array" ref="G27">SUMPRODUCT(--(K27:BH27=$K$5:$BH$5), --($K$3:$BH$3=1))</f>
        <v>12</v>
      </c>
      <c r="H27" s="9">
        <f t="shared" si="1"/>
        <v>85.714285714285708</v>
      </c>
      <c r="I27" s="1" cm="1">
        <f t="array" ref="I27">SUMPRODUCT(--(K27:BH27=$K$5:$BH$5), --($K$3:$BH$3=2))</f>
        <v>22</v>
      </c>
      <c r="J27" s="9">
        <f t="shared" si="2"/>
        <v>73.333333333333329</v>
      </c>
      <c r="K27" s="1" t="s">
        <v>3</v>
      </c>
      <c r="L27" s="1" t="s">
        <v>6</v>
      </c>
      <c r="M27" s="1" t="s">
        <v>5</v>
      </c>
      <c r="N27" s="1" t="s">
        <v>3</v>
      </c>
      <c r="O27" s="1" t="s">
        <v>3</v>
      </c>
      <c r="P27" s="1" t="s">
        <v>6</v>
      </c>
      <c r="Q27" s="1" t="s">
        <v>6</v>
      </c>
      <c r="R27" s="1" t="s">
        <v>6</v>
      </c>
      <c r="S27" s="1" t="s">
        <v>6</v>
      </c>
      <c r="T27" s="1" t="s">
        <v>4</v>
      </c>
      <c r="U27" s="1" t="s">
        <v>6</v>
      </c>
      <c r="V27" s="1" t="s">
        <v>4</v>
      </c>
      <c r="W27" s="1" t="s">
        <v>3</v>
      </c>
      <c r="X27" s="1" t="s">
        <v>3</v>
      </c>
      <c r="Y27" s="1" t="s">
        <v>4</v>
      </c>
      <c r="Z27" s="1" t="s">
        <v>4</v>
      </c>
      <c r="AA27" s="1" t="s">
        <v>5</v>
      </c>
      <c r="AB27" s="1" t="s">
        <v>6</v>
      </c>
      <c r="AC27" s="1" t="s">
        <v>6</v>
      </c>
      <c r="AD27" s="1" t="s">
        <v>5</v>
      </c>
      <c r="AE27" s="1" t="s">
        <v>4</v>
      </c>
      <c r="AF27" s="1" t="s">
        <v>3</v>
      </c>
      <c r="AG27" s="1" t="s">
        <v>6</v>
      </c>
      <c r="AH27" s="1" t="s">
        <v>3</v>
      </c>
      <c r="AI27" s="1" t="s">
        <v>6</v>
      </c>
      <c r="AJ27" s="1" t="s">
        <v>5</v>
      </c>
      <c r="AK27" s="1" t="s">
        <v>5</v>
      </c>
      <c r="AL27" s="1" t="s">
        <v>3</v>
      </c>
      <c r="AM27" s="1" t="s">
        <v>4</v>
      </c>
      <c r="AN27" s="1" t="s">
        <v>5</v>
      </c>
      <c r="AO27" s="1" t="s">
        <v>3</v>
      </c>
      <c r="AP27" s="1" t="s">
        <v>3</v>
      </c>
      <c r="AQ27" s="1" t="s">
        <v>5</v>
      </c>
      <c r="AR27" s="1" t="s">
        <v>6</v>
      </c>
      <c r="AS27" s="1" t="s">
        <v>3</v>
      </c>
      <c r="AT27" s="1" t="s">
        <v>4</v>
      </c>
      <c r="AU27" s="1" t="s">
        <v>6</v>
      </c>
      <c r="AV27" s="1" t="s">
        <v>3</v>
      </c>
      <c r="AW27" s="1" t="s">
        <v>5</v>
      </c>
      <c r="AX27" s="1" t="s">
        <v>5</v>
      </c>
      <c r="AY27" s="1" t="s">
        <v>5</v>
      </c>
      <c r="AZ27" s="1" t="s">
        <v>6</v>
      </c>
      <c r="BA27" s="1" t="s">
        <v>5</v>
      </c>
      <c r="BB27" s="1" t="s">
        <v>4</v>
      </c>
      <c r="BC27" s="1" t="s">
        <v>3</v>
      </c>
      <c r="BD27" s="1" t="s">
        <v>5</v>
      </c>
      <c r="BE27" s="1" t="s">
        <v>6</v>
      </c>
      <c r="BF27" s="1" t="s">
        <v>5</v>
      </c>
      <c r="BG27" s="1" t="s">
        <v>6</v>
      </c>
      <c r="BH27" s="1" t="s">
        <v>5</v>
      </c>
    </row>
    <row r="28" spans="1:60" x14ac:dyDescent="0.2">
      <c r="A28" s="11">
        <v>1022282</v>
      </c>
      <c r="B28" s="12" t="s">
        <v>147</v>
      </c>
      <c r="C28" s="13">
        <v>43957</v>
      </c>
      <c r="D28" t="s">
        <v>148</v>
      </c>
      <c r="E28" s="1" cm="1">
        <f t="array" ref="E28">SUMPRODUCT(--(K28:BH28=$K$5:$BH$5))</f>
        <v>19</v>
      </c>
      <c r="F28" s="10">
        <f t="shared" si="0"/>
        <v>38</v>
      </c>
      <c r="G28" s="1" cm="1">
        <f t="array" ref="G28">SUMPRODUCT(--(K28:BH28=$K$5:$BH$5), --($K$3:$BH$3=1))</f>
        <v>5</v>
      </c>
      <c r="H28" s="9">
        <f t="shared" si="1"/>
        <v>35.714285714285715</v>
      </c>
      <c r="I28" s="1" cm="1">
        <f t="array" ref="I28">SUMPRODUCT(--(K28:BH28=$K$5:$BH$5), --($K$3:$BH$3=2))</f>
        <v>12</v>
      </c>
      <c r="J28" s="9">
        <f t="shared" si="2"/>
        <v>40</v>
      </c>
      <c r="K28" s="1" t="s">
        <v>3</v>
      </c>
      <c r="L28" s="1" t="s">
        <v>5</v>
      </c>
      <c r="M28" s="1" t="s">
        <v>4</v>
      </c>
      <c r="N28" s="1" t="s">
        <v>6</v>
      </c>
      <c r="O28" s="1" t="s">
        <v>6</v>
      </c>
      <c r="P28" s="1" t="s">
        <v>4</v>
      </c>
      <c r="Q28" s="1" t="s">
        <v>6</v>
      </c>
      <c r="R28" s="1" t="s">
        <v>4</v>
      </c>
      <c r="S28" s="1" t="s">
        <v>6</v>
      </c>
      <c r="T28" s="1" t="s">
        <v>4</v>
      </c>
      <c r="U28" s="1" t="s">
        <v>6</v>
      </c>
      <c r="V28" s="1" t="s">
        <v>6</v>
      </c>
      <c r="W28" s="1" t="s">
        <v>3</v>
      </c>
      <c r="X28" s="1" t="s">
        <v>3</v>
      </c>
      <c r="Y28" s="1" t="s">
        <v>4</v>
      </c>
      <c r="Z28" s="1" t="s">
        <v>6</v>
      </c>
      <c r="AA28" s="1" t="s">
        <v>5</v>
      </c>
      <c r="AB28" s="1" t="s">
        <v>5</v>
      </c>
      <c r="AC28" s="1" t="s">
        <v>6</v>
      </c>
      <c r="AD28" s="1" t="s">
        <v>3</v>
      </c>
      <c r="AE28" s="1" t="s">
        <v>6</v>
      </c>
      <c r="AF28" s="1" t="s">
        <v>4</v>
      </c>
      <c r="AG28" s="1" t="s">
        <v>6</v>
      </c>
      <c r="AH28" s="1" t="s">
        <v>3</v>
      </c>
      <c r="AI28" s="1" t="s">
        <v>6</v>
      </c>
      <c r="AJ28" s="1" t="s">
        <v>5</v>
      </c>
      <c r="AK28" s="1" t="s">
        <v>5</v>
      </c>
      <c r="AL28" s="1" t="s">
        <v>3</v>
      </c>
      <c r="AM28" s="1" t="s">
        <v>6</v>
      </c>
      <c r="AN28" s="1" t="s">
        <v>3</v>
      </c>
      <c r="AO28" s="1" t="s">
        <v>6</v>
      </c>
      <c r="AP28" s="1" t="s">
        <v>3</v>
      </c>
      <c r="AQ28" s="1" t="s">
        <v>5</v>
      </c>
      <c r="AR28" s="1" t="s">
        <v>5</v>
      </c>
      <c r="AS28" s="1" t="s">
        <v>6</v>
      </c>
      <c r="AT28" s="1" t="s">
        <v>6</v>
      </c>
      <c r="AU28" s="1" t="s">
        <v>4</v>
      </c>
      <c r="AV28" s="1" t="s">
        <v>4</v>
      </c>
      <c r="AW28" s="1" t="s">
        <v>6</v>
      </c>
      <c r="AX28" s="1" t="s">
        <v>6</v>
      </c>
      <c r="AY28" s="1" t="s">
        <v>4</v>
      </c>
      <c r="AZ28" s="1" t="s">
        <v>4</v>
      </c>
      <c r="BA28" s="1" t="s">
        <v>3</v>
      </c>
      <c r="BB28" s="1" t="s">
        <v>4</v>
      </c>
      <c r="BC28" s="1" t="s">
        <v>4</v>
      </c>
      <c r="BD28" s="1" t="s">
        <v>5</v>
      </c>
      <c r="BE28" s="1" t="s">
        <v>6</v>
      </c>
      <c r="BF28" s="1" t="s">
        <v>5</v>
      </c>
      <c r="BG28" s="1" t="s">
        <v>5</v>
      </c>
      <c r="BH28" s="1" t="s">
        <v>6</v>
      </c>
    </row>
    <row r="29" spans="1:60" x14ac:dyDescent="0.2">
      <c r="A29" s="11">
        <v>924739</v>
      </c>
      <c r="B29" s="12" t="s">
        <v>99</v>
      </c>
      <c r="C29" s="13">
        <v>43957</v>
      </c>
      <c r="D29" t="s">
        <v>100</v>
      </c>
      <c r="E29" s="1" cm="1">
        <f t="array" ref="E29">SUMPRODUCT(--(K29:BH29=$K$5:$BH$5))</f>
        <v>14</v>
      </c>
      <c r="F29" s="10">
        <f t="shared" si="0"/>
        <v>28.000000000000004</v>
      </c>
      <c r="G29" s="1" cm="1">
        <f t="array" ref="G29">SUMPRODUCT(--(K29:BH29=$K$5:$BH$5), --($K$3:$BH$3=1))</f>
        <v>5</v>
      </c>
      <c r="H29" s="9">
        <f t="shared" si="1"/>
        <v>35.714285714285715</v>
      </c>
      <c r="I29" s="1" cm="1">
        <f t="array" ref="I29">SUMPRODUCT(--(K29:BH29=$K$5:$BH$5), --($K$3:$BH$3=2))</f>
        <v>7</v>
      </c>
      <c r="J29" s="9">
        <f t="shared" si="2"/>
        <v>23.333333333333332</v>
      </c>
      <c r="K29" s="1" t="s">
        <v>5</v>
      </c>
      <c r="L29" s="1" t="s">
        <v>6</v>
      </c>
      <c r="M29" s="1" t="s">
        <v>3</v>
      </c>
      <c r="N29" s="1" t="s">
        <v>6</v>
      </c>
      <c r="O29" s="1" t="s">
        <v>4</v>
      </c>
      <c r="P29" s="1" t="s">
        <v>5</v>
      </c>
      <c r="Q29" s="1" t="s">
        <v>5</v>
      </c>
      <c r="R29" s="1" t="s">
        <v>6</v>
      </c>
      <c r="S29" s="1" t="s">
        <v>2</v>
      </c>
      <c r="T29" s="1" t="s">
        <v>6</v>
      </c>
      <c r="U29" s="1" t="s">
        <v>5</v>
      </c>
      <c r="V29" s="1" t="s">
        <v>3</v>
      </c>
      <c r="W29" s="1" t="s">
        <v>4</v>
      </c>
      <c r="X29" s="1" t="s">
        <v>5</v>
      </c>
      <c r="Y29" s="1" t="s">
        <v>4</v>
      </c>
      <c r="Z29" s="1" t="s">
        <v>3</v>
      </c>
      <c r="AA29" s="1" t="s">
        <v>5</v>
      </c>
      <c r="AB29" s="1" t="s">
        <v>6</v>
      </c>
      <c r="AC29" s="1" t="s">
        <v>6</v>
      </c>
      <c r="AD29" s="1" t="s">
        <v>3</v>
      </c>
      <c r="AE29" s="1" t="s">
        <v>5</v>
      </c>
      <c r="AF29" s="1" t="s">
        <v>4</v>
      </c>
      <c r="AG29" s="1" t="s">
        <v>3</v>
      </c>
      <c r="AH29" s="1" t="s">
        <v>3</v>
      </c>
      <c r="AI29" s="1" t="s">
        <v>4</v>
      </c>
      <c r="AJ29" s="1" t="s">
        <v>5</v>
      </c>
      <c r="AK29" s="1" t="s">
        <v>5</v>
      </c>
      <c r="AL29" s="1" t="s">
        <v>3</v>
      </c>
      <c r="AM29" s="1" t="s">
        <v>4</v>
      </c>
      <c r="AN29" s="1" t="s">
        <v>5</v>
      </c>
      <c r="AO29" s="1" t="s">
        <v>6</v>
      </c>
      <c r="AP29" s="1" t="s">
        <v>6</v>
      </c>
      <c r="AQ29" s="1" t="s">
        <v>5</v>
      </c>
      <c r="AR29" s="1" t="s">
        <v>3</v>
      </c>
      <c r="AS29" s="1" t="s">
        <v>3</v>
      </c>
      <c r="AT29" s="1" t="s">
        <v>4</v>
      </c>
      <c r="AU29" s="1" t="s">
        <v>6</v>
      </c>
      <c r="AV29" s="1" t="s">
        <v>4</v>
      </c>
      <c r="AW29" s="1" t="s">
        <v>5</v>
      </c>
      <c r="AX29" s="1" t="s">
        <v>6</v>
      </c>
      <c r="AY29" s="1" t="s">
        <v>5</v>
      </c>
      <c r="AZ29" s="1" t="s">
        <v>4</v>
      </c>
      <c r="BA29" s="1" t="s">
        <v>3</v>
      </c>
      <c r="BB29" s="1" t="s">
        <v>5</v>
      </c>
      <c r="BC29" s="1" t="s">
        <v>3</v>
      </c>
      <c r="BD29" s="1" t="s">
        <v>5</v>
      </c>
      <c r="BE29" s="1" t="s">
        <v>6</v>
      </c>
      <c r="BF29" s="1" t="s">
        <v>3</v>
      </c>
      <c r="BG29" s="1" t="s">
        <v>4</v>
      </c>
      <c r="BH29" s="1" t="s">
        <v>6</v>
      </c>
    </row>
    <row r="30" spans="1:60" x14ac:dyDescent="0.2">
      <c r="A30" s="11">
        <v>891883</v>
      </c>
      <c r="B30" s="12" t="s">
        <v>93</v>
      </c>
      <c r="C30" s="13">
        <v>43957</v>
      </c>
      <c r="D30" t="s">
        <v>94</v>
      </c>
      <c r="E30" s="1" cm="1">
        <f t="array" ref="E30">SUMPRODUCT(--(K30:BH30=$K$5:$BH$5))</f>
        <v>11</v>
      </c>
      <c r="F30" s="10">
        <f t="shared" si="0"/>
        <v>22</v>
      </c>
      <c r="G30" s="1" cm="1">
        <f t="array" ref="G30">SUMPRODUCT(--(K30:BH30=$K$5:$BH$5), --($K$3:$BH$3=1))</f>
        <v>1</v>
      </c>
      <c r="H30" s="9">
        <f t="shared" si="1"/>
        <v>7.1428571428571423</v>
      </c>
      <c r="I30" s="1" cm="1">
        <f t="array" ref="I30">SUMPRODUCT(--(K30:BH30=$K$5:$BH$5), --($K$3:$BH$3=2))</f>
        <v>8</v>
      </c>
      <c r="J30" s="9">
        <f t="shared" si="2"/>
        <v>26.666666666666668</v>
      </c>
      <c r="K30" s="1" t="s">
        <v>4</v>
      </c>
      <c r="L30" s="1" t="s">
        <v>3</v>
      </c>
      <c r="M30" s="1" t="s">
        <v>4</v>
      </c>
      <c r="N30" s="1" t="s">
        <v>6</v>
      </c>
      <c r="O30" s="1" t="s">
        <v>6</v>
      </c>
      <c r="P30" s="1" t="s">
        <v>3</v>
      </c>
      <c r="Q30" s="1" t="s">
        <v>4</v>
      </c>
      <c r="R30" s="1" t="s">
        <v>6</v>
      </c>
      <c r="S30" s="1" t="s">
        <v>5</v>
      </c>
      <c r="T30" s="1" t="s">
        <v>6</v>
      </c>
      <c r="U30" s="1" t="s">
        <v>6</v>
      </c>
      <c r="V30" s="1" t="s">
        <v>5</v>
      </c>
      <c r="W30" s="1" t="s">
        <v>6</v>
      </c>
      <c r="X30" s="1" t="s">
        <v>5</v>
      </c>
      <c r="Y30" s="1" t="s">
        <v>3</v>
      </c>
      <c r="Z30" s="1" t="s">
        <v>3</v>
      </c>
      <c r="AA30" s="1" t="s">
        <v>5</v>
      </c>
      <c r="AB30" s="1" t="s">
        <v>4</v>
      </c>
      <c r="AC30" s="1" t="s">
        <v>6</v>
      </c>
      <c r="AD30" s="1" t="s">
        <v>6</v>
      </c>
      <c r="AE30" s="1" t="s">
        <v>6</v>
      </c>
      <c r="AF30" s="1" t="s">
        <v>4</v>
      </c>
      <c r="AG30" s="1" t="s">
        <v>5</v>
      </c>
      <c r="AH30" s="1" t="s">
        <v>6</v>
      </c>
      <c r="AI30" s="1" t="s">
        <v>6</v>
      </c>
      <c r="AJ30" s="1" t="s">
        <v>4</v>
      </c>
      <c r="AK30" s="1" t="s">
        <v>6</v>
      </c>
      <c r="AL30" s="1" t="s">
        <v>5</v>
      </c>
      <c r="AM30" s="1" t="s">
        <v>3</v>
      </c>
      <c r="AN30" s="1" t="s">
        <v>6</v>
      </c>
      <c r="AO30" s="1" t="s">
        <v>3</v>
      </c>
      <c r="AP30" s="1" t="s">
        <v>3</v>
      </c>
      <c r="AQ30" s="1" t="s">
        <v>5</v>
      </c>
      <c r="AR30" s="1" t="s">
        <v>3</v>
      </c>
      <c r="AS30" s="1" t="s">
        <v>3</v>
      </c>
      <c r="AT30" s="1" t="s">
        <v>6</v>
      </c>
      <c r="AU30" s="1" t="s">
        <v>4</v>
      </c>
      <c r="AV30" s="1" t="s">
        <v>5</v>
      </c>
      <c r="AW30" s="1" t="s">
        <v>4</v>
      </c>
      <c r="AX30" s="1" t="s">
        <v>6</v>
      </c>
      <c r="AY30" s="1" t="s">
        <v>4</v>
      </c>
      <c r="AZ30" s="1" t="s">
        <v>6</v>
      </c>
      <c r="BA30" s="1" t="s">
        <v>4</v>
      </c>
      <c r="BB30" s="1" t="s">
        <v>6</v>
      </c>
      <c r="BC30" s="1" t="s">
        <v>4</v>
      </c>
      <c r="BD30" s="1" t="s">
        <v>5</v>
      </c>
      <c r="BE30" s="1" t="s">
        <v>6</v>
      </c>
      <c r="BF30" s="1" t="s">
        <v>4</v>
      </c>
      <c r="BG30" s="1" t="s">
        <v>6</v>
      </c>
      <c r="BH30" s="1" t="s">
        <v>6</v>
      </c>
    </row>
    <row r="31" spans="1:60" x14ac:dyDescent="0.2">
      <c r="A31" s="11">
        <v>1068669</v>
      </c>
      <c r="B31" s="12" t="s">
        <v>139</v>
      </c>
      <c r="C31" s="13">
        <v>43957</v>
      </c>
      <c r="D31" t="s">
        <v>140</v>
      </c>
      <c r="E31" s="1" cm="1">
        <f t="array" ref="E31">SUMPRODUCT(--(K31:BH31=$K$5:$BH$5))</f>
        <v>36</v>
      </c>
      <c r="F31" s="10">
        <f t="shared" si="0"/>
        <v>72</v>
      </c>
      <c r="G31" s="1" cm="1">
        <f t="array" ref="G31">SUMPRODUCT(--(K31:BH31=$K$5:$BH$5), --($K$3:$BH$3=1))</f>
        <v>9</v>
      </c>
      <c r="H31" s="9">
        <f t="shared" si="1"/>
        <v>64.285714285714292</v>
      </c>
      <c r="I31" s="1" cm="1">
        <f t="array" ref="I31">SUMPRODUCT(--(K31:BH31=$K$5:$BH$5), --($K$3:$BH$3=2))</f>
        <v>25</v>
      </c>
      <c r="J31" s="9">
        <f t="shared" si="2"/>
        <v>83.333333333333343</v>
      </c>
      <c r="K31" s="1" t="s">
        <v>3</v>
      </c>
      <c r="L31" s="1" t="s">
        <v>4</v>
      </c>
      <c r="M31" s="1" t="s">
        <v>5</v>
      </c>
      <c r="N31" s="1" t="s">
        <v>5</v>
      </c>
      <c r="O31" s="1" t="s">
        <v>4</v>
      </c>
      <c r="P31" s="1" t="s">
        <v>6</v>
      </c>
      <c r="Q31" s="1" t="s">
        <v>5</v>
      </c>
      <c r="R31" s="1" t="s">
        <v>4</v>
      </c>
      <c r="S31" s="1" t="s">
        <v>6</v>
      </c>
      <c r="T31" s="1" t="s">
        <v>4</v>
      </c>
      <c r="U31" s="1" t="s">
        <v>6</v>
      </c>
      <c r="V31" s="1" t="s">
        <v>4</v>
      </c>
      <c r="W31" s="1" t="s">
        <v>3</v>
      </c>
      <c r="X31" s="1" t="s">
        <v>3</v>
      </c>
      <c r="Y31" s="1" t="s">
        <v>5</v>
      </c>
      <c r="Z31" s="1" t="s">
        <v>6</v>
      </c>
      <c r="AA31" s="1" t="s">
        <v>3</v>
      </c>
      <c r="AB31" s="1" t="s">
        <v>4</v>
      </c>
      <c r="AC31" s="1" t="s">
        <v>3</v>
      </c>
      <c r="AD31" s="1" t="s">
        <v>5</v>
      </c>
      <c r="AE31" s="1" t="s">
        <v>4</v>
      </c>
      <c r="AF31" s="1" t="s">
        <v>3</v>
      </c>
      <c r="AG31" s="1" t="s">
        <v>3</v>
      </c>
      <c r="AH31" s="1" t="s">
        <v>3</v>
      </c>
      <c r="AI31" s="1" t="s">
        <v>4</v>
      </c>
      <c r="AJ31" s="1" t="s">
        <v>5</v>
      </c>
      <c r="AK31" s="1" t="s">
        <v>5</v>
      </c>
      <c r="AL31" s="1" t="s">
        <v>4</v>
      </c>
      <c r="AM31" s="1" t="s">
        <v>4</v>
      </c>
      <c r="AN31" s="1" t="s">
        <v>5</v>
      </c>
      <c r="AO31" s="1" t="s">
        <v>3</v>
      </c>
      <c r="AP31" s="1" t="s">
        <v>4</v>
      </c>
      <c r="AQ31" s="1" t="s">
        <v>5</v>
      </c>
      <c r="AR31" s="1" t="s">
        <v>6</v>
      </c>
      <c r="AS31" s="1" t="s">
        <v>3</v>
      </c>
      <c r="AT31" s="1" t="s">
        <v>6</v>
      </c>
      <c r="AU31" s="1" t="s">
        <v>6</v>
      </c>
      <c r="AV31" s="1" t="s">
        <v>3</v>
      </c>
      <c r="AW31" s="1" t="s">
        <v>4</v>
      </c>
      <c r="AX31" s="1" t="s">
        <v>3</v>
      </c>
      <c r="AY31" s="1" t="s">
        <v>5</v>
      </c>
      <c r="AZ31" s="1" t="s">
        <v>3</v>
      </c>
      <c r="BA31" s="1" t="s">
        <v>5</v>
      </c>
      <c r="BB31" s="1" t="s">
        <v>3</v>
      </c>
      <c r="BC31" s="1" t="s">
        <v>3</v>
      </c>
      <c r="BD31" s="1" t="s">
        <v>6</v>
      </c>
      <c r="BE31" s="1" t="s">
        <v>6</v>
      </c>
      <c r="BF31" s="1" t="s">
        <v>6</v>
      </c>
      <c r="BG31" s="1" t="s">
        <v>6</v>
      </c>
      <c r="BH31" s="1" t="s">
        <v>5</v>
      </c>
    </row>
    <row r="32" spans="1:60" x14ac:dyDescent="0.2">
      <c r="A32" s="11">
        <v>896290</v>
      </c>
      <c r="B32" s="12" t="s">
        <v>97</v>
      </c>
      <c r="C32" s="13">
        <v>43957</v>
      </c>
      <c r="D32" t="s">
        <v>98</v>
      </c>
      <c r="E32" s="1" cm="1">
        <f t="array" ref="E32">SUMPRODUCT(--(K32:BH32=$K$5:$BH$5))</f>
        <v>16</v>
      </c>
      <c r="F32" s="10">
        <f t="shared" si="0"/>
        <v>32</v>
      </c>
      <c r="G32" s="1" cm="1">
        <f t="array" ref="G32">SUMPRODUCT(--(K32:BH32=$K$5:$BH$5), --($K$3:$BH$3=1))</f>
        <v>2</v>
      </c>
      <c r="H32" s="9">
        <f t="shared" si="1"/>
        <v>14.285714285714285</v>
      </c>
      <c r="I32" s="1" cm="1">
        <f t="array" ref="I32">SUMPRODUCT(--(K32:BH32=$K$5:$BH$5), --($K$3:$BH$3=2))</f>
        <v>12</v>
      </c>
      <c r="J32" s="9">
        <f t="shared" si="2"/>
        <v>40</v>
      </c>
      <c r="K32" s="1" t="s">
        <v>5</v>
      </c>
      <c r="L32" s="1" t="s">
        <v>3</v>
      </c>
      <c r="M32" s="1" t="s">
        <v>5</v>
      </c>
      <c r="N32" s="1" t="s">
        <v>4</v>
      </c>
      <c r="O32" s="1" t="s">
        <v>4</v>
      </c>
      <c r="P32" s="1" t="s">
        <v>6</v>
      </c>
      <c r="Q32" s="1" t="s">
        <v>4</v>
      </c>
      <c r="R32" s="1" t="s">
        <v>4</v>
      </c>
      <c r="S32" s="1" t="s">
        <v>4</v>
      </c>
      <c r="T32" s="1" t="s">
        <v>5</v>
      </c>
      <c r="U32" s="1" t="s">
        <v>3</v>
      </c>
      <c r="V32" s="1" t="s">
        <v>4</v>
      </c>
      <c r="W32" s="1" t="s">
        <v>6</v>
      </c>
      <c r="X32" s="1" t="s">
        <v>4</v>
      </c>
      <c r="Y32" s="1" t="s">
        <v>5</v>
      </c>
      <c r="Z32" s="1" t="s">
        <v>6</v>
      </c>
      <c r="AA32" s="1" t="s">
        <v>3</v>
      </c>
      <c r="AB32" s="1" t="s">
        <v>6</v>
      </c>
      <c r="AC32" s="1" t="s">
        <v>6</v>
      </c>
      <c r="AD32" s="1" t="s">
        <v>5</v>
      </c>
      <c r="AE32" s="1" t="s">
        <v>6</v>
      </c>
      <c r="AF32" s="1" t="s">
        <v>6</v>
      </c>
      <c r="AG32" s="1" t="s">
        <v>5</v>
      </c>
      <c r="AH32" s="1" t="s">
        <v>6</v>
      </c>
      <c r="AI32" s="1" t="s">
        <v>4</v>
      </c>
      <c r="AJ32" s="1" t="s">
        <v>5</v>
      </c>
      <c r="AK32" s="1" t="s">
        <v>3</v>
      </c>
      <c r="AL32" s="1" t="s">
        <v>6</v>
      </c>
      <c r="AM32" s="1" t="s">
        <v>5</v>
      </c>
      <c r="AN32" s="1" t="s">
        <v>4</v>
      </c>
      <c r="AO32" s="1" t="s">
        <v>6</v>
      </c>
      <c r="AP32" s="1" t="s">
        <v>5</v>
      </c>
      <c r="AQ32" s="1" t="s">
        <v>5</v>
      </c>
      <c r="AR32" s="1" t="s">
        <v>3</v>
      </c>
      <c r="AS32" s="1" t="s">
        <v>3</v>
      </c>
      <c r="AT32" s="1" t="s">
        <v>6</v>
      </c>
      <c r="AU32" s="1" t="s">
        <v>4</v>
      </c>
      <c r="AV32" s="1" t="s">
        <v>5</v>
      </c>
      <c r="AW32" s="1" t="s">
        <v>3</v>
      </c>
      <c r="AX32" s="1" t="s">
        <v>5</v>
      </c>
      <c r="AY32" s="1" t="s">
        <v>4</v>
      </c>
      <c r="AZ32" s="1" t="s">
        <v>5</v>
      </c>
      <c r="BA32" s="1" t="s">
        <v>6</v>
      </c>
      <c r="BB32" s="1" t="s">
        <v>4</v>
      </c>
      <c r="BC32" s="1" t="s">
        <v>3</v>
      </c>
      <c r="BD32" s="1" t="s">
        <v>6</v>
      </c>
      <c r="BE32" s="1" t="s">
        <v>6</v>
      </c>
      <c r="BF32" s="1" t="s">
        <v>5</v>
      </c>
      <c r="BG32" s="1" t="s">
        <v>5</v>
      </c>
      <c r="BH32" s="1" t="s">
        <v>6</v>
      </c>
    </row>
    <row r="33" spans="1:60" x14ac:dyDescent="0.2">
      <c r="A33" s="11">
        <v>775232</v>
      </c>
      <c r="B33" s="12" t="s">
        <v>81</v>
      </c>
      <c r="C33" s="13">
        <v>43957</v>
      </c>
      <c r="D33" t="s">
        <v>82</v>
      </c>
      <c r="E33" s="1" cm="1">
        <f t="array" ref="E33">SUMPRODUCT(--(K33:BH33=$K$5:$BH$5))</f>
        <v>10</v>
      </c>
      <c r="F33" s="10">
        <f t="shared" si="0"/>
        <v>20</v>
      </c>
      <c r="G33" s="1" cm="1">
        <f t="array" ref="G33">SUMPRODUCT(--(K33:BH33=$K$5:$BH$5), --($K$3:$BH$3=1))</f>
        <v>2</v>
      </c>
      <c r="H33" s="9">
        <f t="shared" si="1"/>
        <v>14.285714285714285</v>
      </c>
      <c r="I33" s="1" cm="1">
        <f t="array" ref="I33">SUMPRODUCT(--(K33:BH33=$K$5:$BH$5), --($K$3:$BH$3=2))</f>
        <v>6</v>
      </c>
      <c r="J33" s="9">
        <f t="shared" si="2"/>
        <v>20</v>
      </c>
      <c r="K33" s="1" t="s">
        <v>4</v>
      </c>
      <c r="L33" s="1" t="s">
        <v>3</v>
      </c>
      <c r="M33" s="1" t="s">
        <v>6</v>
      </c>
      <c r="N33" s="1" t="s">
        <v>6</v>
      </c>
      <c r="O33" s="1" t="s">
        <v>5</v>
      </c>
      <c r="P33" s="1" t="s">
        <v>3</v>
      </c>
      <c r="Q33" s="1" t="s">
        <v>4</v>
      </c>
      <c r="R33" s="1" t="s">
        <v>6</v>
      </c>
      <c r="S33" s="1" t="s">
        <v>3</v>
      </c>
      <c r="T33" s="1" t="s">
        <v>6</v>
      </c>
      <c r="U33" s="1" t="s">
        <v>6</v>
      </c>
      <c r="V33" s="1" t="s">
        <v>4</v>
      </c>
      <c r="W33" s="1" t="s">
        <v>4</v>
      </c>
      <c r="X33" s="1" t="s">
        <v>5</v>
      </c>
      <c r="Y33" s="1" t="s">
        <v>4</v>
      </c>
      <c r="Z33" s="1" t="s">
        <v>3</v>
      </c>
      <c r="AA33" s="1" t="s">
        <v>5</v>
      </c>
      <c r="AB33" s="1" t="s">
        <v>4</v>
      </c>
      <c r="AC33" s="1" t="s">
        <v>6</v>
      </c>
      <c r="AD33" s="1" t="s">
        <v>5</v>
      </c>
      <c r="AE33" s="1" t="s">
        <v>3</v>
      </c>
      <c r="AF33" s="1" t="s">
        <v>4</v>
      </c>
      <c r="AG33" s="1" t="s">
        <v>4</v>
      </c>
      <c r="AH33" s="1" t="s">
        <v>3</v>
      </c>
      <c r="AI33" s="1" t="s">
        <v>6</v>
      </c>
      <c r="AJ33" s="1" t="s">
        <v>3</v>
      </c>
      <c r="AK33" s="1" t="s">
        <v>4</v>
      </c>
      <c r="AL33" s="1" t="s">
        <v>3</v>
      </c>
      <c r="AM33" s="1" t="s">
        <v>5</v>
      </c>
      <c r="AN33" s="1" t="s">
        <v>5</v>
      </c>
      <c r="AO33" s="1" t="s">
        <v>5</v>
      </c>
      <c r="AP33" s="1" t="s">
        <v>5</v>
      </c>
      <c r="AQ33" s="1" t="s">
        <v>4</v>
      </c>
      <c r="AR33" s="1" t="s">
        <v>4</v>
      </c>
      <c r="AS33" s="1" t="s">
        <v>6</v>
      </c>
      <c r="AT33" s="1" t="s">
        <v>4</v>
      </c>
      <c r="AU33" s="1" t="s">
        <v>4</v>
      </c>
      <c r="AV33" s="1" t="s">
        <v>4</v>
      </c>
      <c r="AW33" s="1" t="s">
        <v>5</v>
      </c>
      <c r="AX33" s="1" t="s">
        <v>3</v>
      </c>
      <c r="AY33" s="1" t="s">
        <v>4</v>
      </c>
      <c r="AZ33" s="1" t="s">
        <v>5</v>
      </c>
      <c r="BA33" s="1" t="s">
        <v>6</v>
      </c>
      <c r="BB33" s="1" t="s">
        <v>4</v>
      </c>
      <c r="BC33" s="1" t="s">
        <v>4</v>
      </c>
      <c r="BD33" s="1" t="s">
        <v>6</v>
      </c>
      <c r="BE33" s="1" t="s">
        <v>5</v>
      </c>
      <c r="BF33" s="1" t="s">
        <v>3</v>
      </c>
      <c r="BG33" s="1" t="s">
        <v>5</v>
      </c>
      <c r="BH33" s="1" t="s">
        <v>6</v>
      </c>
    </row>
    <row r="34" spans="1:60" x14ac:dyDescent="0.2">
      <c r="A34" s="11">
        <v>934216</v>
      </c>
      <c r="B34" s="12" t="s">
        <v>101</v>
      </c>
      <c r="C34" s="13">
        <v>43957</v>
      </c>
      <c r="D34" t="s">
        <v>102</v>
      </c>
      <c r="E34" s="1" cm="1">
        <f t="array" ref="E34">SUMPRODUCT(--(K34:BH34=$K$5:$BH$5))</f>
        <v>16</v>
      </c>
      <c r="F34" s="10">
        <f t="shared" si="0"/>
        <v>32</v>
      </c>
      <c r="G34" s="1" cm="1">
        <f t="array" ref="G34">SUMPRODUCT(--(K34:BH34=$K$5:$BH$5), --($K$3:$BH$3=1))</f>
        <v>5</v>
      </c>
      <c r="H34" s="9">
        <f t="shared" si="1"/>
        <v>35.714285714285715</v>
      </c>
      <c r="I34" s="1" cm="1">
        <f t="array" ref="I34">SUMPRODUCT(--(K34:BH34=$K$5:$BH$5), --($K$3:$BH$3=2))</f>
        <v>9</v>
      </c>
      <c r="J34" s="9">
        <f t="shared" si="2"/>
        <v>30</v>
      </c>
      <c r="K34" s="1" t="s">
        <v>3</v>
      </c>
      <c r="L34" s="1" t="s">
        <v>6</v>
      </c>
      <c r="M34" s="1" t="s">
        <v>4</v>
      </c>
      <c r="N34" s="1" t="s">
        <v>5</v>
      </c>
      <c r="O34" s="1" t="s">
        <v>4</v>
      </c>
      <c r="P34" s="1" t="s">
        <v>6</v>
      </c>
      <c r="Q34" s="1" t="s">
        <v>3</v>
      </c>
      <c r="R34" s="1" t="s">
        <v>4</v>
      </c>
      <c r="S34" s="1" t="s">
        <v>6</v>
      </c>
      <c r="T34" s="1" t="s">
        <v>6</v>
      </c>
      <c r="U34" s="1" t="s">
        <v>5</v>
      </c>
      <c r="V34" s="1" t="s">
        <v>4</v>
      </c>
      <c r="W34" s="1" t="s">
        <v>6</v>
      </c>
      <c r="X34" s="1" t="s">
        <v>5</v>
      </c>
      <c r="Y34" s="1" t="s">
        <v>4</v>
      </c>
      <c r="Z34" s="1" t="s">
        <v>3</v>
      </c>
      <c r="AA34" s="1" t="s">
        <v>5</v>
      </c>
      <c r="AB34" s="1" t="s">
        <v>5</v>
      </c>
      <c r="AC34" s="1" t="s">
        <v>4</v>
      </c>
      <c r="AD34" s="1" t="s">
        <v>5</v>
      </c>
      <c r="AE34" s="1" t="s">
        <v>4</v>
      </c>
      <c r="AF34" s="1" t="s">
        <v>6</v>
      </c>
      <c r="AG34" s="1" t="s">
        <v>3</v>
      </c>
      <c r="AH34" s="1" t="s">
        <v>5</v>
      </c>
      <c r="AI34" s="1" t="s">
        <v>6</v>
      </c>
      <c r="AJ34" s="1" t="s">
        <v>5</v>
      </c>
      <c r="AK34" s="1" t="s">
        <v>4</v>
      </c>
      <c r="AL34" s="1" t="s">
        <v>3</v>
      </c>
      <c r="AM34" s="1" t="s">
        <v>3</v>
      </c>
      <c r="AN34" s="1" t="s">
        <v>6</v>
      </c>
      <c r="AO34" s="1" t="s">
        <v>4</v>
      </c>
      <c r="AP34" s="1" t="s">
        <v>3</v>
      </c>
      <c r="AQ34" s="1" t="s">
        <v>5</v>
      </c>
      <c r="AR34" s="1" t="s">
        <v>3</v>
      </c>
      <c r="AS34" s="1" t="s">
        <v>5</v>
      </c>
      <c r="AT34" s="1" t="s">
        <v>6</v>
      </c>
      <c r="AU34" s="1" t="s">
        <v>6</v>
      </c>
      <c r="AV34" s="1" t="s">
        <v>4</v>
      </c>
      <c r="AW34" s="1" t="s">
        <v>4</v>
      </c>
      <c r="AX34" s="1" t="s">
        <v>5</v>
      </c>
      <c r="AY34" s="1" t="s">
        <v>4</v>
      </c>
      <c r="AZ34" s="1" t="s">
        <v>6</v>
      </c>
      <c r="BA34" s="1" t="s">
        <v>5</v>
      </c>
      <c r="BB34" s="1" t="s">
        <v>4</v>
      </c>
      <c r="BC34" s="1" t="s">
        <v>4</v>
      </c>
      <c r="BD34" s="1" t="s">
        <v>3</v>
      </c>
      <c r="BE34" s="1" t="s">
        <v>6</v>
      </c>
      <c r="BF34" s="1" t="s">
        <v>4</v>
      </c>
      <c r="BG34" s="1" t="s">
        <v>5</v>
      </c>
      <c r="BH34" s="1" t="s">
        <v>6</v>
      </c>
    </row>
    <row r="35" spans="1:60" x14ac:dyDescent="0.2">
      <c r="A35" s="14">
        <v>1016534</v>
      </c>
      <c r="B35" s="15" t="s">
        <v>123</v>
      </c>
      <c r="C35" s="16">
        <v>43958</v>
      </c>
      <c r="D35" t="s">
        <v>124</v>
      </c>
      <c r="E35" s="1" cm="1">
        <f t="array" ref="E35">SUMPRODUCT(--(K35:BH35=$K$5:$BH$5))</f>
        <v>21</v>
      </c>
      <c r="F35" s="10">
        <f t="shared" si="0"/>
        <v>42</v>
      </c>
      <c r="G35" s="1" cm="1">
        <f t="array" ref="G35">SUMPRODUCT(--(K35:BH35=$K$5:$BH$5), --($K$3:$BH$3=1))</f>
        <v>5</v>
      </c>
      <c r="H35" s="9">
        <f t="shared" si="1"/>
        <v>35.714285714285715</v>
      </c>
      <c r="I35" s="1" cm="1">
        <f t="array" ref="I35">SUMPRODUCT(--(K35:BH35=$K$5:$BH$5), --($K$3:$BH$3=2))</f>
        <v>14</v>
      </c>
      <c r="J35" s="9">
        <f t="shared" si="2"/>
        <v>46.666666666666664</v>
      </c>
      <c r="K35" s="1" t="s">
        <v>3</v>
      </c>
      <c r="L35" s="1" t="s">
        <v>3</v>
      </c>
      <c r="M35" s="1" t="s">
        <v>6</v>
      </c>
      <c r="N35" s="1" t="s">
        <v>5</v>
      </c>
      <c r="O35" s="1" t="s">
        <v>6</v>
      </c>
      <c r="P35" s="1" t="s">
        <v>4</v>
      </c>
      <c r="Q35" s="1" t="s">
        <v>6</v>
      </c>
      <c r="R35" s="1" t="s">
        <v>4</v>
      </c>
      <c r="S35" s="1" t="s">
        <v>6</v>
      </c>
      <c r="T35" s="1" t="s">
        <v>4</v>
      </c>
      <c r="U35" s="1" t="s">
        <v>5</v>
      </c>
      <c r="V35" s="1" t="s">
        <v>5</v>
      </c>
      <c r="W35" s="1" t="s">
        <v>3</v>
      </c>
      <c r="X35" s="1" t="s">
        <v>3</v>
      </c>
      <c r="Y35" s="1" t="s">
        <v>4</v>
      </c>
      <c r="Z35" s="1" t="s">
        <v>6</v>
      </c>
      <c r="AA35" s="1" t="s">
        <v>5</v>
      </c>
      <c r="AB35" s="1" t="s">
        <v>3</v>
      </c>
      <c r="AC35" s="1" t="s">
        <v>4</v>
      </c>
      <c r="AD35" s="1" t="s">
        <v>3</v>
      </c>
      <c r="AE35" s="1" t="s">
        <v>4</v>
      </c>
      <c r="AF35" s="1" t="s">
        <v>6</v>
      </c>
      <c r="AG35" s="1" t="s">
        <v>5</v>
      </c>
      <c r="AH35" s="1" t="s">
        <v>3</v>
      </c>
      <c r="AI35" s="1" t="s">
        <v>4</v>
      </c>
      <c r="AJ35" s="1" t="s">
        <v>3</v>
      </c>
      <c r="AK35" s="1" t="s">
        <v>6</v>
      </c>
      <c r="AL35" s="1" t="s">
        <v>4</v>
      </c>
      <c r="AM35" s="1" t="s">
        <v>5</v>
      </c>
      <c r="AN35" s="1" t="s">
        <v>5</v>
      </c>
      <c r="AO35" s="1" t="s">
        <v>4</v>
      </c>
      <c r="AP35" s="1" t="s">
        <v>3</v>
      </c>
      <c r="AQ35" s="1" t="s">
        <v>4</v>
      </c>
      <c r="AR35" s="1" t="s">
        <v>3</v>
      </c>
      <c r="AS35" s="1" t="s">
        <v>5</v>
      </c>
      <c r="AT35" s="1" t="s">
        <v>6</v>
      </c>
      <c r="AU35" s="1" t="s">
        <v>3</v>
      </c>
      <c r="AV35" s="1" t="s">
        <v>3</v>
      </c>
      <c r="AW35" s="1" t="s">
        <v>3</v>
      </c>
      <c r="AX35" s="1" t="s">
        <v>6</v>
      </c>
      <c r="AY35" s="1" t="s">
        <v>4</v>
      </c>
      <c r="AZ35" s="1" t="s">
        <v>5</v>
      </c>
      <c r="BA35" s="1" t="s">
        <v>5</v>
      </c>
      <c r="BB35" s="1" t="s">
        <v>4</v>
      </c>
      <c r="BC35" s="1" t="s">
        <v>3</v>
      </c>
      <c r="BD35" s="1" t="s">
        <v>6</v>
      </c>
      <c r="BE35" s="1" t="s">
        <v>6</v>
      </c>
      <c r="BF35" s="1" t="s">
        <v>3</v>
      </c>
      <c r="BG35" s="1" t="s">
        <v>4</v>
      </c>
      <c r="BH35" s="1" t="s">
        <v>5</v>
      </c>
    </row>
    <row r="36" spans="1:60" x14ac:dyDescent="0.2">
      <c r="A36" s="14">
        <v>1070102</v>
      </c>
      <c r="B36" s="15" t="s">
        <v>153</v>
      </c>
      <c r="C36" s="16">
        <v>43958</v>
      </c>
      <c r="D36" t="s">
        <v>154</v>
      </c>
      <c r="E36" s="1" cm="1">
        <f t="array" ref="E36">SUMPRODUCT(--(K36:BH36=$K$5:$BH$5))</f>
        <v>28</v>
      </c>
      <c r="F36" s="10">
        <f t="shared" si="0"/>
        <v>56.000000000000007</v>
      </c>
      <c r="G36" s="1" cm="1">
        <f t="array" ref="G36">SUMPRODUCT(--(K36:BH36=$K$5:$BH$5), --($K$3:$BH$3=1))</f>
        <v>7</v>
      </c>
      <c r="H36" s="9">
        <f t="shared" si="1"/>
        <v>50</v>
      </c>
      <c r="I36" s="1" cm="1">
        <f t="array" ref="I36">SUMPRODUCT(--(K36:BH36=$K$5:$BH$5), --($K$3:$BH$3=2))</f>
        <v>17</v>
      </c>
      <c r="J36" s="9">
        <f t="shared" si="2"/>
        <v>56.666666666666664</v>
      </c>
      <c r="K36" s="1" t="s">
        <v>5</v>
      </c>
      <c r="L36" s="1" t="s">
        <v>4</v>
      </c>
      <c r="M36" s="1" t="s">
        <v>5</v>
      </c>
      <c r="N36" s="1" t="s">
        <v>3</v>
      </c>
      <c r="O36" s="1" t="s">
        <v>3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4</v>
      </c>
      <c r="U36" s="1" t="s">
        <v>5</v>
      </c>
      <c r="V36" s="1" t="s">
        <v>4</v>
      </c>
      <c r="W36" s="1" t="s">
        <v>3</v>
      </c>
      <c r="X36" s="1" t="s">
        <v>3</v>
      </c>
      <c r="Y36" s="1" t="s">
        <v>5</v>
      </c>
      <c r="Z36" s="1" t="s">
        <v>5</v>
      </c>
      <c r="AA36" s="1" t="s">
        <v>4</v>
      </c>
      <c r="AB36" s="1" t="s">
        <v>6</v>
      </c>
      <c r="AC36" s="1" t="s">
        <v>6</v>
      </c>
      <c r="AD36" s="1" t="s">
        <v>5</v>
      </c>
      <c r="AE36" s="1" t="s">
        <v>4</v>
      </c>
      <c r="AF36" s="1" t="s">
        <v>6</v>
      </c>
      <c r="AG36" s="1" t="s">
        <v>4</v>
      </c>
      <c r="AH36" s="1" t="s">
        <v>6</v>
      </c>
      <c r="AI36" s="1" t="s">
        <v>3</v>
      </c>
      <c r="AJ36" s="1" t="s">
        <v>5</v>
      </c>
      <c r="AK36" s="1" t="s">
        <v>4</v>
      </c>
      <c r="AL36" s="1" t="s">
        <v>3</v>
      </c>
      <c r="AM36" s="1" t="s">
        <v>4</v>
      </c>
      <c r="AN36" s="1" t="s">
        <v>3</v>
      </c>
      <c r="AO36" s="1" t="s">
        <v>5</v>
      </c>
      <c r="AP36" s="1" t="s">
        <v>6</v>
      </c>
      <c r="AQ36" s="1" t="s">
        <v>3</v>
      </c>
      <c r="AR36" s="1" t="s">
        <v>4</v>
      </c>
      <c r="AS36" s="1" t="s">
        <v>3</v>
      </c>
      <c r="AT36" s="1" t="s">
        <v>4</v>
      </c>
      <c r="AU36" s="1" t="s">
        <v>6</v>
      </c>
      <c r="AV36" s="1" t="s">
        <v>3</v>
      </c>
      <c r="AW36" s="1" t="s">
        <v>4</v>
      </c>
      <c r="AX36" s="1" t="s">
        <v>3</v>
      </c>
      <c r="AY36" s="1" t="s">
        <v>5</v>
      </c>
      <c r="AZ36" s="1" t="s">
        <v>6</v>
      </c>
      <c r="BA36" s="1" t="s">
        <v>5</v>
      </c>
      <c r="BB36" s="1" t="s">
        <v>6</v>
      </c>
      <c r="BC36" s="1" t="s">
        <v>4</v>
      </c>
      <c r="BD36" s="1" t="s">
        <v>6</v>
      </c>
      <c r="BE36" s="1" t="s">
        <v>5</v>
      </c>
      <c r="BF36" s="1" t="s">
        <v>5</v>
      </c>
      <c r="BG36" s="1" t="s">
        <v>4</v>
      </c>
      <c r="BH36" s="1" t="s">
        <v>4</v>
      </c>
    </row>
    <row r="37" spans="1:60" x14ac:dyDescent="0.2">
      <c r="A37" s="14">
        <v>1065569</v>
      </c>
      <c r="B37" s="15" t="s">
        <v>137</v>
      </c>
      <c r="C37" s="16">
        <v>43958</v>
      </c>
      <c r="D37" t="s">
        <v>138</v>
      </c>
      <c r="E37" s="1" cm="1">
        <f t="array" ref="E37">SUMPRODUCT(--(K37:BH37=$K$5:$BH$5))</f>
        <v>24</v>
      </c>
      <c r="F37" s="10">
        <f t="shared" si="0"/>
        <v>48</v>
      </c>
      <c r="G37" s="1" cm="1">
        <f t="array" ref="G37">SUMPRODUCT(--(K37:BH37=$K$5:$BH$5), --($K$3:$BH$3=1))</f>
        <v>5</v>
      </c>
      <c r="H37" s="9">
        <f t="shared" si="1"/>
        <v>35.714285714285715</v>
      </c>
      <c r="I37" s="1" cm="1">
        <f t="array" ref="I37">SUMPRODUCT(--(K37:BH37=$K$5:$BH$5), --($K$3:$BH$3=2))</f>
        <v>15</v>
      </c>
      <c r="J37" s="9">
        <f t="shared" si="2"/>
        <v>50</v>
      </c>
      <c r="K37" s="1" t="s">
        <v>3</v>
      </c>
      <c r="L37" s="1" t="s">
        <v>5</v>
      </c>
      <c r="M37" s="1" t="s">
        <v>3</v>
      </c>
      <c r="N37" s="1" t="s">
        <v>3</v>
      </c>
      <c r="O37" s="1" t="s">
        <v>5</v>
      </c>
      <c r="P37" s="1" t="s">
        <v>6</v>
      </c>
      <c r="Q37" s="1" t="s">
        <v>5</v>
      </c>
      <c r="R37" s="1" t="s">
        <v>4</v>
      </c>
      <c r="S37" s="1" t="s">
        <v>6</v>
      </c>
      <c r="T37" s="1" t="s">
        <v>4</v>
      </c>
      <c r="U37" s="1" t="s">
        <v>5</v>
      </c>
      <c r="V37" s="1" t="s">
        <v>4</v>
      </c>
      <c r="W37" s="1" t="s">
        <v>3</v>
      </c>
      <c r="X37" s="1" t="s">
        <v>6</v>
      </c>
      <c r="Y37" s="1" t="s">
        <v>3</v>
      </c>
      <c r="Z37" s="1" t="s">
        <v>6</v>
      </c>
      <c r="AA37" s="1" t="s">
        <v>5</v>
      </c>
      <c r="AB37" s="1" t="s">
        <v>3</v>
      </c>
      <c r="AC37" s="1" t="s">
        <v>6</v>
      </c>
      <c r="AD37" s="1" t="s">
        <v>5</v>
      </c>
      <c r="AE37" s="1" t="s">
        <v>6</v>
      </c>
      <c r="AF37" s="1" t="s">
        <v>5</v>
      </c>
      <c r="AG37" s="1" t="s">
        <v>3</v>
      </c>
      <c r="AH37" s="1" t="s">
        <v>5</v>
      </c>
      <c r="AI37" s="1" t="s">
        <v>4</v>
      </c>
      <c r="AJ37" s="1" t="s">
        <v>5</v>
      </c>
      <c r="AK37" s="1" t="s">
        <v>5</v>
      </c>
      <c r="AL37" s="1" t="s">
        <v>4</v>
      </c>
      <c r="AM37" s="1" t="s">
        <v>5</v>
      </c>
      <c r="AN37" s="1" t="s">
        <v>5</v>
      </c>
      <c r="AO37" s="1" t="s">
        <v>5</v>
      </c>
      <c r="AP37" s="1" t="s">
        <v>4</v>
      </c>
      <c r="AQ37" s="1" t="s">
        <v>5</v>
      </c>
      <c r="AR37" s="1" t="s">
        <v>6</v>
      </c>
      <c r="AS37" s="1" t="s">
        <v>3</v>
      </c>
      <c r="AT37" s="1" t="s">
        <v>4</v>
      </c>
      <c r="AU37" s="1" t="s">
        <v>6</v>
      </c>
      <c r="AV37" s="1" t="s">
        <v>4</v>
      </c>
      <c r="AW37" s="1" t="s">
        <v>3</v>
      </c>
      <c r="AX37" s="1" t="s">
        <v>6</v>
      </c>
      <c r="AY37" s="1" t="s">
        <v>4</v>
      </c>
      <c r="AZ37" s="1" t="s">
        <v>5</v>
      </c>
      <c r="BA37" s="1" t="s">
        <v>5</v>
      </c>
      <c r="BB37" s="1" t="s">
        <v>3</v>
      </c>
      <c r="BC37" s="1" t="s">
        <v>3</v>
      </c>
      <c r="BD37" s="1" t="s">
        <v>3</v>
      </c>
      <c r="BE37" s="1" t="s">
        <v>5</v>
      </c>
      <c r="BF37" s="1" t="s">
        <v>6</v>
      </c>
      <c r="BG37" s="1" t="s">
        <v>6</v>
      </c>
      <c r="BH37" s="1" t="s">
        <v>5</v>
      </c>
    </row>
    <row r="38" spans="1:60" x14ac:dyDescent="0.2">
      <c r="A38" s="14">
        <v>759215</v>
      </c>
      <c r="B38" s="15" t="s">
        <v>79</v>
      </c>
      <c r="C38" s="16">
        <v>43958</v>
      </c>
      <c r="D38" t="s">
        <v>80</v>
      </c>
      <c r="E38" s="1" cm="1">
        <f t="array" ref="E38">SUMPRODUCT(--(K38:BH38=$K$5:$BH$5))</f>
        <v>35</v>
      </c>
      <c r="F38" s="10">
        <f t="shared" si="0"/>
        <v>70</v>
      </c>
      <c r="G38" s="1" cm="1">
        <f t="array" ref="G38">SUMPRODUCT(--(K38:BH38=$K$5:$BH$5), --($K$3:$BH$3=1))</f>
        <v>10</v>
      </c>
      <c r="H38" s="9">
        <f t="shared" si="1"/>
        <v>71.428571428571431</v>
      </c>
      <c r="I38" s="1" cm="1">
        <f t="array" ref="I38">SUMPRODUCT(--(K38:BH38=$K$5:$BH$5), --($K$3:$BH$3=2))</f>
        <v>23</v>
      </c>
      <c r="J38" s="9">
        <f t="shared" si="2"/>
        <v>76.666666666666671</v>
      </c>
      <c r="K38" s="1" t="s">
        <v>5</v>
      </c>
      <c r="L38" s="1" t="s">
        <v>4</v>
      </c>
      <c r="M38" s="1" t="s">
        <v>5</v>
      </c>
      <c r="N38" s="1" t="s">
        <v>3</v>
      </c>
      <c r="O38" s="1" t="s">
        <v>3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4</v>
      </c>
      <c r="U38" s="1" t="s">
        <v>6</v>
      </c>
      <c r="V38" s="1" t="s">
        <v>4</v>
      </c>
      <c r="W38" s="1" t="s">
        <v>3</v>
      </c>
      <c r="X38" s="1" t="s">
        <v>3</v>
      </c>
      <c r="Y38" s="1" t="s">
        <v>5</v>
      </c>
      <c r="Z38" s="1" t="s">
        <v>4</v>
      </c>
      <c r="AA38" s="1" t="s">
        <v>5</v>
      </c>
      <c r="AB38" s="1" t="s">
        <v>6</v>
      </c>
      <c r="AC38" s="1" t="s">
        <v>6</v>
      </c>
      <c r="AD38" s="1" t="s">
        <v>5</v>
      </c>
      <c r="AE38" s="1" t="s">
        <v>4</v>
      </c>
      <c r="AF38" s="1" t="s">
        <v>3</v>
      </c>
      <c r="AG38" s="1" t="s">
        <v>5</v>
      </c>
      <c r="AH38" s="1" t="s">
        <v>3</v>
      </c>
      <c r="AI38" s="1" t="s">
        <v>4</v>
      </c>
      <c r="AJ38" s="1" t="s">
        <v>5</v>
      </c>
      <c r="AK38" s="1" t="s">
        <v>5</v>
      </c>
      <c r="AL38" s="1" t="s">
        <v>3</v>
      </c>
      <c r="AM38" s="1" t="s">
        <v>4</v>
      </c>
      <c r="AN38" s="1" t="s">
        <v>3</v>
      </c>
      <c r="AO38" s="1" t="s">
        <v>5</v>
      </c>
      <c r="AP38" s="1" t="s">
        <v>3</v>
      </c>
      <c r="AQ38" s="1" t="s">
        <v>5</v>
      </c>
      <c r="AR38" s="1" t="s">
        <v>6</v>
      </c>
      <c r="AS38" s="1" t="s">
        <v>3</v>
      </c>
      <c r="AT38" s="1" t="s">
        <v>4</v>
      </c>
      <c r="AU38" s="1" t="s">
        <v>6</v>
      </c>
      <c r="AV38" s="1" t="s">
        <v>3</v>
      </c>
      <c r="AW38" s="1" t="s">
        <v>4</v>
      </c>
      <c r="AX38" s="1" t="s">
        <v>3</v>
      </c>
      <c r="AY38" s="1" t="s">
        <v>5</v>
      </c>
      <c r="AZ38" s="1" t="s">
        <v>6</v>
      </c>
      <c r="BA38" s="1" t="s">
        <v>3</v>
      </c>
      <c r="BB38" s="1" t="s">
        <v>4</v>
      </c>
      <c r="BC38" s="1" t="s">
        <v>5</v>
      </c>
      <c r="BD38" s="1" t="s">
        <v>3</v>
      </c>
      <c r="BE38" s="1" t="s">
        <v>4</v>
      </c>
      <c r="BF38" s="1" t="s">
        <v>6</v>
      </c>
      <c r="BG38" s="1" t="s">
        <v>4</v>
      </c>
      <c r="BH38" s="1" t="s">
        <v>4</v>
      </c>
    </row>
    <row r="39" spans="1:60" x14ac:dyDescent="0.2">
      <c r="A39" s="14">
        <v>778750</v>
      </c>
      <c r="B39" s="15" t="s">
        <v>145</v>
      </c>
      <c r="C39" s="16">
        <v>43958</v>
      </c>
      <c r="D39" t="s">
        <v>146</v>
      </c>
      <c r="E39" s="1" cm="1">
        <f t="array" ref="E39">SUMPRODUCT(--(K39:BH39=$K$5:$BH$5))</f>
        <v>26</v>
      </c>
      <c r="F39" s="10">
        <f t="shared" si="0"/>
        <v>52</v>
      </c>
      <c r="G39" s="1" cm="1">
        <f t="array" ref="G39">SUMPRODUCT(--(K39:BH39=$K$5:$BH$5), --($K$3:$BH$3=1))</f>
        <v>10</v>
      </c>
      <c r="H39" s="9">
        <f t="shared" si="1"/>
        <v>71.428571428571431</v>
      </c>
      <c r="I39" s="1" cm="1">
        <f t="array" ref="I39">SUMPRODUCT(--(K39:BH39=$K$5:$BH$5), --($K$3:$BH$3=2))</f>
        <v>12</v>
      </c>
      <c r="J39" s="9">
        <f t="shared" si="2"/>
        <v>40</v>
      </c>
      <c r="K39" s="1" t="s">
        <v>3</v>
      </c>
      <c r="L39" s="1" t="s">
        <v>5</v>
      </c>
      <c r="M39" s="1" t="s">
        <v>5</v>
      </c>
      <c r="N39" s="1" t="s">
        <v>4</v>
      </c>
      <c r="O39" s="1" t="s">
        <v>3</v>
      </c>
      <c r="P39" s="1" t="s">
        <v>6</v>
      </c>
      <c r="Q39" s="1" t="s">
        <v>6</v>
      </c>
      <c r="R39" s="1" t="s">
        <v>4</v>
      </c>
      <c r="S39" s="1" t="s">
        <v>4</v>
      </c>
      <c r="T39" s="1" t="s">
        <v>4</v>
      </c>
      <c r="U39" s="1" t="s">
        <v>6</v>
      </c>
      <c r="V39" s="1" t="s">
        <v>6</v>
      </c>
      <c r="W39" s="1" t="s">
        <v>4</v>
      </c>
      <c r="X39" s="1" t="s">
        <v>4</v>
      </c>
      <c r="Y39" s="1" t="s">
        <v>3</v>
      </c>
      <c r="Z39" s="1" t="s">
        <v>5</v>
      </c>
      <c r="AA39" s="1" t="s">
        <v>4</v>
      </c>
      <c r="AB39" s="1" t="s">
        <v>6</v>
      </c>
      <c r="AC39" s="1" t="s">
        <v>3</v>
      </c>
      <c r="AD39" s="1" t="s">
        <v>4</v>
      </c>
      <c r="AE39" s="1" t="s">
        <v>4</v>
      </c>
      <c r="AF39" s="1" t="s">
        <v>6</v>
      </c>
      <c r="AG39" s="1" t="s">
        <v>6</v>
      </c>
      <c r="AH39" s="1" t="s">
        <v>6</v>
      </c>
      <c r="AI39" s="1" t="s">
        <v>4</v>
      </c>
      <c r="AJ39" s="1" t="s">
        <v>5</v>
      </c>
      <c r="AK39" s="1" t="s">
        <v>6</v>
      </c>
      <c r="AL39" s="1" t="s">
        <v>4</v>
      </c>
      <c r="AM39" s="1" t="s">
        <v>4</v>
      </c>
      <c r="AN39" s="1" t="s">
        <v>6</v>
      </c>
      <c r="AO39" s="1" t="s">
        <v>4</v>
      </c>
      <c r="AP39" s="1" t="s">
        <v>5</v>
      </c>
      <c r="AQ39" s="1" t="s">
        <v>5</v>
      </c>
      <c r="AR39" s="1" t="s">
        <v>4</v>
      </c>
      <c r="AS39" s="1" t="s">
        <v>8</v>
      </c>
      <c r="AT39" s="1" t="s">
        <v>4</v>
      </c>
      <c r="AU39" s="1" t="s">
        <v>6</v>
      </c>
      <c r="AV39" s="1" t="s">
        <v>3</v>
      </c>
      <c r="AW39" s="1" t="s">
        <v>6</v>
      </c>
      <c r="AX39" s="1" t="s">
        <v>4</v>
      </c>
      <c r="AY39" s="1" t="s">
        <v>5</v>
      </c>
      <c r="AZ39" s="1" t="s">
        <v>6</v>
      </c>
      <c r="BA39" s="1" t="s">
        <v>5</v>
      </c>
      <c r="BB39" s="1" t="s">
        <v>4</v>
      </c>
      <c r="BC39" s="1" t="s">
        <v>6</v>
      </c>
      <c r="BD39" s="1" t="s">
        <v>5</v>
      </c>
      <c r="BE39" s="1" t="s">
        <v>6</v>
      </c>
      <c r="BF39" s="1" t="s">
        <v>5</v>
      </c>
      <c r="BG39" s="1" t="s">
        <v>6</v>
      </c>
      <c r="BH39" s="1" t="s">
        <v>5</v>
      </c>
    </row>
    <row r="40" spans="1:60" x14ac:dyDescent="0.2">
      <c r="A40" s="14">
        <v>910945</v>
      </c>
      <c r="B40" s="15" t="s">
        <v>155</v>
      </c>
      <c r="C40" s="16">
        <v>43958</v>
      </c>
      <c r="D40" t="s">
        <v>156</v>
      </c>
      <c r="E40" s="1" cm="1">
        <f t="array" ref="E40">SUMPRODUCT(--(K40:BH40=$K$5:$BH$5))</f>
        <v>15</v>
      </c>
      <c r="F40" s="10">
        <f t="shared" si="0"/>
        <v>30</v>
      </c>
      <c r="G40" s="1" cm="1">
        <f t="array" ref="G40">SUMPRODUCT(--(K40:BH40=$K$5:$BH$5), --($K$3:$BH$3=1))</f>
        <v>6</v>
      </c>
      <c r="H40" s="9">
        <f t="shared" si="1"/>
        <v>42.857142857142854</v>
      </c>
      <c r="I40" s="1" cm="1">
        <f t="array" ref="I40">SUMPRODUCT(--(K40:BH40=$K$5:$BH$5), --($K$3:$BH$3=2))</f>
        <v>8</v>
      </c>
      <c r="J40" s="9">
        <f t="shared" si="2"/>
        <v>26.666666666666668</v>
      </c>
      <c r="K40" s="1" t="s">
        <v>3</v>
      </c>
      <c r="L40" s="1" t="s">
        <v>6</v>
      </c>
      <c r="M40" s="1" t="s">
        <v>4</v>
      </c>
      <c r="N40" s="1" t="s">
        <v>6</v>
      </c>
      <c r="O40" s="1" t="s">
        <v>3</v>
      </c>
      <c r="P40" s="1" t="s">
        <v>5</v>
      </c>
      <c r="Q40" s="1" t="s">
        <v>6</v>
      </c>
      <c r="R40" s="1" t="s">
        <v>6</v>
      </c>
      <c r="S40" s="1" t="s">
        <v>3</v>
      </c>
      <c r="T40" s="1" t="s">
        <v>5</v>
      </c>
      <c r="U40" s="1" t="s">
        <v>5</v>
      </c>
      <c r="V40" s="1" t="s">
        <v>4</v>
      </c>
      <c r="W40" s="1" t="s">
        <v>6</v>
      </c>
      <c r="X40" s="1" t="s">
        <v>4</v>
      </c>
      <c r="Y40" s="1" t="s">
        <v>5</v>
      </c>
      <c r="Z40" s="1" t="s">
        <v>4</v>
      </c>
      <c r="AA40" s="1" t="s">
        <v>5</v>
      </c>
      <c r="AB40" s="1" t="s">
        <v>3</v>
      </c>
      <c r="AC40" s="1" t="s">
        <v>4</v>
      </c>
      <c r="AD40" s="1" t="s">
        <v>4</v>
      </c>
      <c r="AE40" s="1" t="s">
        <v>5</v>
      </c>
      <c r="AF40" s="1" t="s">
        <v>6</v>
      </c>
      <c r="AG40" s="1" t="s">
        <v>6</v>
      </c>
      <c r="AH40" s="1" t="s">
        <v>4</v>
      </c>
      <c r="AI40" s="1" t="s">
        <v>6</v>
      </c>
      <c r="AJ40" s="1" t="s">
        <v>5</v>
      </c>
      <c r="AK40" s="1" t="s">
        <v>4</v>
      </c>
      <c r="AL40" s="1" t="s">
        <v>4</v>
      </c>
      <c r="AM40" s="1" t="s">
        <v>5</v>
      </c>
      <c r="AN40" s="1" t="s">
        <v>3</v>
      </c>
      <c r="AO40" s="1" t="s">
        <v>5</v>
      </c>
      <c r="AP40" s="1" t="s">
        <v>6</v>
      </c>
      <c r="AQ40" s="1" t="s">
        <v>4</v>
      </c>
      <c r="AR40" s="1" t="s">
        <v>4</v>
      </c>
      <c r="AS40" s="1" t="s">
        <v>4</v>
      </c>
      <c r="AT40" s="1" t="s">
        <v>4</v>
      </c>
      <c r="AU40" s="1" t="s">
        <v>6</v>
      </c>
      <c r="AV40" s="1" t="s">
        <v>4</v>
      </c>
      <c r="AW40" s="1" t="s">
        <v>4</v>
      </c>
      <c r="AX40" s="1" t="s">
        <v>4</v>
      </c>
      <c r="AY40" s="1" t="s">
        <v>5</v>
      </c>
      <c r="AZ40" s="1" t="s">
        <v>6</v>
      </c>
      <c r="BA40" s="1" t="s">
        <v>4</v>
      </c>
      <c r="BB40" s="1" t="s">
        <v>6</v>
      </c>
      <c r="BC40" s="1" t="s">
        <v>4</v>
      </c>
      <c r="BD40" s="1" t="s">
        <v>3</v>
      </c>
      <c r="BE40" s="1" t="s">
        <v>4</v>
      </c>
      <c r="BF40" s="1" t="s">
        <v>6</v>
      </c>
      <c r="BG40" s="1" t="s">
        <v>5</v>
      </c>
      <c r="BH40" s="1" t="s">
        <v>6</v>
      </c>
    </row>
    <row r="41" spans="1:60" x14ac:dyDescent="0.2">
      <c r="A41" s="14">
        <v>928878</v>
      </c>
      <c r="B41" s="15" t="s">
        <v>141</v>
      </c>
      <c r="C41" s="16">
        <v>43958</v>
      </c>
      <c r="D41" t="s">
        <v>142</v>
      </c>
      <c r="E41" s="1" cm="1">
        <f t="array" ref="E41">SUMPRODUCT(--(K41:BH41=$K$5:$BH$5))</f>
        <v>24</v>
      </c>
      <c r="F41" s="10">
        <f t="shared" si="0"/>
        <v>48</v>
      </c>
      <c r="G41" s="1" cm="1">
        <f t="array" ref="G41">SUMPRODUCT(--(K41:BH41=$K$5:$BH$5), --($K$3:$BH$3=1))</f>
        <v>8</v>
      </c>
      <c r="H41" s="9">
        <f t="shared" si="1"/>
        <v>57.142857142857139</v>
      </c>
      <c r="I41" s="1" cm="1">
        <f t="array" ref="I41">SUMPRODUCT(--(K41:BH41=$K$5:$BH$5), --($K$3:$BH$3=2))</f>
        <v>14</v>
      </c>
      <c r="J41" s="9">
        <f t="shared" si="2"/>
        <v>46.666666666666664</v>
      </c>
      <c r="K41" s="1" t="s">
        <v>3</v>
      </c>
      <c r="L41" s="1" t="s">
        <v>6</v>
      </c>
      <c r="M41" s="1" t="s">
        <v>4</v>
      </c>
      <c r="N41" s="1" t="s">
        <v>5</v>
      </c>
      <c r="O41" s="1" t="s">
        <v>3</v>
      </c>
      <c r="P41" s="1" t="s">
        <v>6</v>
      </c>
      <c r="Q41" s="1" t="s">
        <v>5</v>
      </c>
      <c r="R41" s="1" t="s">
        <v>4</v>
      </c>
      <c r="S41" s="1" t="s">
        <v>6</v>
      </c>
      <c r="T41" s="1" t="s">
        <v>4</v>
      </c>
      <c r="U41" s="1" t="s">
        <v>4</v>
      </c>
      <c r="V41" s="1" t="s">
        <v>4</v>
      </c>
      <c r="W41" s="1" t="s">
        <v>5</v>
      </c>
      <c r="X41" s="1" t="s">
        <v>5</v>
      </c>
      <c r="Y41" s="1" t="s">
        <v>4</v>
      </c>
      <c r="Z41" s="1" t="s">
        <v>3</v>
      </c>
      <c r="AA41" s="1" t="s">
        <v>3</v>
      </c>
      <c r="AB41" s="1" t="s">
        <v>3</v>
      </c>
      <c r="AC41" s="1" t="s">
        <v>4</v>
      </c>
      <c r="AD41" s="1" t="s">
        <v>4</v>
      </c>
      <c r="AE41" s="1" t="s">
        <v>4</v>
      </c>
      <c r="AF41" s="1" t="s">
        <v>5</v>
      </c>
      <c r="AG41" s="1" t="s">
        <v>3</v>
      </c>
      <c r="AH41" s="1" t="s">
        <v>3</v>
      </c>
      <c r="AI41" s="1" t="s">
        <v>4</v>
      </c>
      <c r="AJ41" s="1" t="s">
        <v>5</v>
      </c>
      <c r="AK41" s="1" t="s">
        <v>6</v>
      </c>
      <c r="AL41" s="1" t="s">
        <v>3</v>
      </c>
      <c r="AM41" s="1" t="s">
        <v>3</v>
      </c>
      <c r="AN41" s="1" t="s">
        <v>6</v>
      </c>
      <c r="AO41" s="1" t="s">
        <v>3</v>
      </c>
      <c r="AP41" s="1" t="s">
        <v>6</v>
      </c>
      <c r="AQ41" s="1" t="s">
        <v>5</v>
      </c>
      <c r="AR41" s="1" t="s">
        <v>6</v>
      </c>
      <c r="AS41" s="1" t="s">
        <v>3</v>
      </c>
      <c r="AT41" s="1" t="s">
        <v>6</v>
      </c>
      <c r="AU41" s="1" t="s">
        <v>6</v>
      </c>
      <c r="AV41" s="1" t="s">
        <v>4</v>
      </c>
      <c r="AW41" s="1" t="s">
        <v>4</v>
      </c>
      <c r="AX41" s="1" t="s">
        <v>5</v>
      </c>
      <c r="AY41" s="1" t="s">
        <v>4</v>
      </c>
      <c r="AZ41" s="1" t="s">
        <v>6</v>
      </c>
      <c r="BA41" s="1" t="s">
        <v>4</v>
      </c>
      <c r="BB41" s="1" t="s">
        <v>4</v>
      </c>
      <c r="BC41" s="1" t="s">
        <v>4</v>
      </c>
      <c r="BD41" s="1" t="s">
        <v>5</v>
      </c>
      <c r="BE41" s="1" t="s">
        <v>5</v>
      </c>
      <c r="BF41" s="1" t="s">
        <v>3</v>
      </c>
      <c r="BG41" s="1" t="s">
        <v>6</v>
      </c>
      <c r="BH41" s="1" t="s">
        <v>5</v>
      </c>
    </row>
    <row r="42" spans="1:60" x14ac:dyDescent="0.2">
      <c r="A42" s="14">
        <v>982244</v>
      </c>
      <c r="B42" s="15" t="s">
        <v>113</v>
      </c>
      <c r="C42" s="16">
        <v>43958</v>
      </c>
      <c r="D42" t="s">
        <v>114</v>
      </c>
      <c r="E42" s="1" cm="1">
        <f t="array" ref="E42">SUMPRODUCT(--(K42:BH42=$K$5:$BH$5))</f>
        <v>14</v>
      </c>
      <c r="F42" s="10">
        <f t="shared" si="0"/>
        <v>28.000000000000004</v>
      </c>
      <c r="G42" s="1" cm="1">
        <f t="array" ref="G42">SUMPRODUCT(--(K42:BH42=$K$5:$BH$5), --($K$3:$BH$3=1))</f>
        <v>3</v>
      </c>
      <c r="H42" s="9">
        <f t="shared" si="1"/>
        <v>21.428571428571427</v>
      </c>
      <c r="I42" s="1" cm="1">
        <f t="array" ref="I42">SUMPRODUCT(--(K42:BH42=$K$5:$BH$5), --($K$3:$BH$3=2))</f>
        <v>8</v>
      </c>
      <c r="J42" s="9">
        <f t="shared" si="2"/>
        <v>26.666666666666668</v>
      </c>
      <c r="K42" s="1" t="s">
        <v>4</v>
      </c>
      <c r="L42" s="1" t="s">
        <v>3</v>
      </c>
      <c r="M42" s="1" t="s">
        <v>3</v>
      </c>
      <c r="N42" s="1" t="s">
        <v>6</v>
      </c>
      <c r="O42" s="1" t="s">
        <v>4</v>
      </c>
      <c r="P42" s="1" t="s">
        <v>3</v>
      </c>
      <c r="Q42" s="1" t="s">
        <v>3</v>
      </c>
      <c r="R42" s="1" t="s">
        <v>4</v>
      </c>
      <c r="S42" s="1" t="s">
        <v>3</v>
      </c>
      <c r="T42" s="1" t="s">
        <v>3</v>
      </c>
      <c r="U42" s="1" t="s">
        <v>5</v>
      </c>
      <c r="V42" s="1" t="s">
        <v>3</v>
      </c>
      <c r="W42" s="1" t="s">
        <v>6</v>
      </c>
      <c r="X42" s="1" t="s">
        <v>5</v>
      </c>
      <c r="Y42" s="1" t="s">
        <v>4</v>
      </c>
      <c r="Z42" s="1" t="s">
        <v>3</v>
      </c>
      <c r="AA42" s="1" t="s">
        <v>5</v>
      </c>
      <c r="AB42" s="1" t="s">
        <v>5</v>
      </c>
      <c r="AC42" s="1" t="s">
        <v>5</v>
      </c>
      <c r="AD42" s="1" t="s">
        <v>6</v>
      </c>
      <c r="AE42" s="1" t="s">
        <v>4</v>
      </c>
      <c r="AF42" s="1" t="s">
        <v>4</v>
      </c>
      <c r="AG42" s="1" t="s">
        <v>6</v>
      </c>
      <c r="AH42" s="1" t="s">
        <v>5</v>
      </c>
      <c r="AI42" s="1" t="s">
        <v>4</v>
      </c>
      <c r="AJ42" s="1" t="s">
        <v>6</v>
      </c>
      <c r="AK42" s="1" t="s">
        <v>4</v>
      </c>
      <c r="AL42" s="1" t="s">
        <v>3</v>
      </c>
      <c r="AM42" s="1" t="s">
        <v>5</v>
      </c>
      <c r="AN42" s="1" t="s">
        <v>4</v>
      </c>
      <c r="AO42" s="1" t="s">
        <v>3</v>
      </c>
      <c r="AP42" s="1" t="s">
        <v>4</v>
      </c>
      <c r="AQ42" s="1" t="s">
        <v>6</v>
      </c>
      <c r="AR42" s="1" t="s">
        <v>4</v>
      </c>
      <c r="AS42" s="1" t="s">
        <v>3</v>
      </c>
      <c r="AT42" s="1" t="s">
        <v>6</v>
      </c>
      <c r="AU42" s="1" t="s">
        <v>5</v>
      </c>
      <c r="AV42" s="1" t="s">
        <v>6</v>
      </c>
      <c r="AW42" s="1" t="s">
        <v>5</v>
      </c>
      <c r="AX42" s="1" t="s">
        <v>3</v>
      </c>
      <c r="AY42" s="1" t="s">
        <v>5</v>
      </c>
      <c r="AZ42" s="1" t="s">
        <v>3</v>
      </c>
      <c r="BA42" s="1" t="s">
        <v>5</v>
      </c>
      <c r="BB42" s="1" t="s">
        <v>4</v>
      </c>
      <c r="BC42" s="1" t="s">
        <v>4</v>
      </c>
      <c r="BD42" s="1" t="s">
        <v>3</v>
      </c>
      <c r="BE42" s="1" t="s">
        <v>6</v>
      </c>
      <c r="BF42" s="1" t="s">
        <v>5</v>
      </c>
      <c r="BG42" s="1" t="s">
        <v>3</v>
      </c>
      <c r="BH42" s="1" t="s">
        <v>5</v>
      </c>
    </row>
    <row r="43" spans="1:60" x14ac:dyDescent="0.2">
      <c r="A43" s="14">
        <v>1038679</v>
      </c>
      <c r="B43" s="15" t="s">
        <v>151</v>
      </c>
      <c r="C43" s="16">
        <v>43958</v>
      </c>
      <c r="D43" t="s">
        <v>152</v>
      </c>
      <c r="E43" s="1" cm="1">
        <f t="array" ref="E43">SUMPRODUCT(--(K43:BH43=$K$5:$BH$5))</f>
        <v>15</v>
      </c>
      <c r="F43" s="10">
        <f t="shared" si="0"/>
        <v>30</v>
      </c>
      <c r="G43" s="1" cm="1">
        <f t="array" ref="G43">SUMPRODUCT(--(K43:BH43=$K$5:$BH$5), --($K$3:$BH$3=1))</f>
        <v>3</v>
      </c>
      <c r="H43" s="9">
        <f t="shared" si="1"/>
        <v>21.428571428571427</v>
      </c>
      <c r="I43" s="1" cm="1">
        <f t="array" ref="I43">SUMPRODUCT(--(K43:BH43=$K$5:$BH$5), --($K$3:$BH$3=2))</f>
        <v>10</v>
      </c>
      <c r="J43" s="9">
        <f t="shared" si="2"/>
        <v>33.333333333333329</v>
      </c>
      <c r="K43" s="1" t="s">
        <v>6</v>
      </c>
      <c r="L43" s="1" t="s">
        <v>4</v>
      </c>
      <c r="M43" s="1" t="s">
        <v>5</v>
      </c>
      <c r="N43" s="1" t="s">
        <v>5</v>
      </c>
      <c r="O43" s="1" t="s">
        <v>6</v>
      </c>
      <c r="P43" s="1" t="s">
        <v>4</v>
      </c>
      <c r="Q43" s="1" t="s">
        <v>3</v>
      </c>
      <c r="R43" s="1" t="s">
        <v>4</v>
      </c>
      <c r="S43" s="1" t="s">
        <v>6</v>
      </c>
      <c r="T43" s="1" t="s">
        <v>4</v>
      </c>
      <c r="U43" s="1" t="s">
        <v>5</v>
      </c>
      <c r="V43" s="1" t="s">
        <v>5</v>
      </c>
      <c r="W43" s="1" t="s">
        <v>3</v>
      </c>
      <c r="X43" s="1" t="s">
        <v>5</v>
      </c>
      <c r="Y43" s="1" t="s">
        <v>4</v>
      </c>
      <c r="Z43" s="1" t="s">
        <v>4</v>
      </c>
      <c r="AA43" s="1" t="s">
        <v>5</v>
      </c>
      <c r="AB43" s="1" t="s">
        <v>3</v>
      </c>
      <c r="AC43" s="1" t="s">
        <v>5</v>
      </c>
      <c r="AD43" s="1" t="s">
        <v>6</v>
      </c>
      <c r="AE43" s="1" t="s">
        <v>4</v>
      </c>
      <c r="AF43" s="1" t="s">
        <v>6</v>
      </c>
      <c r="AG43" s="1" t="s">
        <v>3</v>
      </c>
      <c r="AH43" s="1" t="s">
        <v>3</v>
      </c>
      <c r="AI43" s="1" t="s">
        <v>4</v>
      </c>
      <c r="AJ43" s="1" t="s">
        <v>2</v>
      </c>
      <c r="AK43" s="1" t="s">
        <v>6</v>
      </c>
      <c r="AL43" s="1" t="s">
        <v>3</v>
      </c>
      <c r="AM43" s="1" t="s">
        <v>6</v>
      </c>
      <c r="AN43" s="1" t="s">
        <v>6</v>
      </c>
      <c r="AO43" s="1" t="s">
        <v>4</v>
      </c>
      <c r="AP43" s="1" t="s">
        <v>5</v>
      </c>
      <c r="AQ43" s="1" t="s">
        <v>5</v>
      </c>
      <c r="AR43" s="1" t="s">
        <v>3</v>
      </c>
      <c r="AS43" s="1" t="s">
        <v>5</v>
      </c>
      <c r="AT43" s="1" t="s">
        <v>6</v>
      </c>
      <c r="AU43" s="1" t="s">
        <v>4</v>
      </c>
      <c r="AV43" s="1" t="s">
        <v>6</v>
      </c>
      <c r="AW43" s="1" t="s">
        <v>3</v>
      </c>
      <c r="AX43" s="1" t="s">
        <v>6</v>
      </c>
      <c r="AY43" s="1" t="s">
        <v>5</v>
      </c>
      <c r="AZ43" s="1" t="s">
        <v>3</v>
      </c>
      <c r="BA43" s="1" t="s">
        <v>5</v>
      </c>
      <c r="BB43" s="1" t="s">
        <v>3</v>
      </c>
      <c r="BC43" s="1" t="s">
        <v>6</v>
      </c>
      <c r="BD43" s="1" t="s">
        <v>3</v>
      </c>
      <c r="BE43" s="1" t="s">
        <v>6</v>
      </c>
      <c r="BF43" s="1" t="s">
        <v>3</v>
      </c>
      <c r="BG43" s="1" t="s">
        <v>5</v>
      </c>
      <c r="BH43" s="1" t="s">
        <v>4</v>
      </c>
    </row>
    <row r="44" spans="1:60" x14ac:dyDescent="0.2">
      <c r="A44" s="14">
        <v>958268</v>
      </c>
      <c r="B44" s="15" t="s">
        <v>105</v>
      </c>
      <c r="C44" s="16">
        <v>43958</v>
      </c>
      <c r="D44" t="s">
        <v>106</v>
      </c>
      <c r="E44" s="1" cm="1">
        <f t="array" ref="E44">SUMPRODUCT(--(K44:BH44=$K$5:$BH$5))</f>
        <v>26</v>
      </c>
      <c r="F44" s="10">
        <f t="shared" si="0"/>
        <v>52</v>
      </c>
      <c r="G44" s="1" cm="1">
        <f t="array" ref="G44">SUMPRODUCT(--(K44:BH44=$K$5:$BH$5), --($K$3:$BH$3=1))</f>
        <v>6</v>
      </c>
      <c r="H44" s="9">
        <f t="shared" si="1"/>
        <v>42.857142857142854</v>
      </c>
      <c r="I44" s="1" cm="1">
        <f t="array" ref="I44">SUMPRODUCT(--(K44:BH44=$K$5:$BH$5), --($K$3:$BH$3=2))</f>
        <v>19</v>
      </c>
      <c r="J44" s="9">
        <f t="shared" si="2"/>
        <v>63.333333333333329</v>
      </c>
      <c r="K44" s="1" t="s">
        <v>3</v>
      </c>
      <c r="L44" s="1" t="s">
        <v>4</v>
      </c>
      <c r="M44" s="1" t="s">
        <v>5</v>
      </c>
      <c r="N44" s="1" t="s">
        <v>3</v>
      </c>
      <c r="O44" s="1" t="s">
        <v>3</v>
      </c>
      <c r="P44" s="1" t="s">
        <v>5</v>
      </c>
      <c r="Q44" s="1" t="s">
        <v>6</v>
      </c>
      <c r="R44" s="1" t="s">
        <v>4</v>
      </c>
      <c r="S44" s="1" t="s">
        <v>6</v>
      </c>
      <c r="T44" s="1" t="s">
        <v>4</v>
      </c>
      <c r="U44" s="1" t="s">
        <v>5</v>
      </c>
      <c r="V44" s="1" t="s">
        <v>4</v>
      </c>
      <c r="W44" s="1" t="s">
        <v>5</v>
      </c>
      <c r="X44" s="1" t="s">
        <v>5</v>
      </c>
      <c r="Y44" s="1" t="s">
        <v>4</v>
      </c>
      <c r="Z44" s="1" t="s">
        <v>3</v>
      </c>
      <c r="AA44" s="1" t="s">
        <v>3</v>
      </c>
      <c r="AB44" s="1" t="s">
        <v>4</v>
      </c>
      <c r="AC44" s="1" t="s">
        <v>6</v>
      </c>
      <c r="AD44" s="1" t="s">
        <v>5</v>
      </c>
      <c r="AE44" s="1" t="s">
        <v>6</v>
      </c>
      <c r="AF44" s="1" t="s">
        <v>6</v>
      </c>
      <c r="AG44" s="1" t="s">
        <v>3</v>
      </c>
      <c r="AH44" s="1" t="s">
        <v>6</v>
      </c>
      <c r="AI44" s="1" t="s">
        <v>4</v>
      </c>
      <c r="AJ44" s="1" t="s">
        <v>3</v>
      </c>
      <c r="AK44" s="1" t="s">
        <v>6</v>
      </c>
      <c r="AL44" s="1" t="s">
        <v>6</v>
      </c>
      <c r="AM44" s="1" t="s">
        <v>4</v>
      </c>
      <c r="AN44" s="1" t="s">
        <v>5</v>
      </c>
      <c r="AO44" s="1" t="s">
        <v>5</v>
      </c>
      <c r="AP44" s="1" t="s">
        <v>3</v>
      </c>
      <c r="AQ44" s="1" t="s">
        <v>5</v>
      </c>
      <c r="AR44" s="1" t="s">
        <v>6</v>
      </c>
      <c r="AS44" s="1" t="s">
        <v>3</v>
      </c>
      <c r="AT44" s="1" t="s">
        <v>6</v>
      </c>
      <c r="AU44" s="1" t="s">
        <v>6</v>
      </c>
      <c r="AV44" s="1" t="s">
        <v>3</v>
      </c>
      <c r="AW44" s="1" t="s">
        <v>4</v>
      </c>
      <c r="AX44" s="1" t="s">
        <v>5</v>
      </c>
      <c r="AY44" s="1" t="s">
        <v>5</v>
      </c>
      <c r="AZ44" s="1" t="s">
        <v>5</v>
      </c>
      <c r="BA44" s="1" t="s">
        <v>6</v>
      </c>
      <c r="BB44" s="1" t="s">
        <v>3</v>
      </c>
      <c r="BC44" s="1" t="s">
        <v>3</v>
      </c>
      <c r="BD44" s="1" t="s">
        <v>5</v>
      </c>
      <c r="BE44" s="1" t="s">
        <v>5</v>
      </c>
      <c r="BF44" s="1" t="s">
        <v>6</v>
      </c>
      <c r="BG44" s="1" t="s">
        <v>3</v>
      </c>
      <c r="BH44" s="1" t="s">
        <v>5</v>
      </c>
    </row>
    <row r="45" spans="1:60" x14ac:dyDescent="0.2">
      <c r="A45" s="14">
        <v>1043694</v>
      </c>
      <c r="B45" s="15" t="s">
        <v>133</v>
      </c>
      <c r="C45" s="16">
        <v>43958</v>
      </c>
      <c r="D45" t="s">
        <v>134</v>
      </c>
      <c r="E45" s="1" cm="1">
        <f t="array" ref="E45">SUMPRODUCT(--(K45:BH45=$K$5:$BH$5))</f>
        <v>29</v>
      </c>
      <c r="F45" s="10">
        <f t="shared" si="0"/>
        <v>57.999999999999993</v>
      </c>
      <c r="G45" s="1" cm="1">
        <f t="array" ref="G45">SUMPRODUCT(--(K45:BH45=$K$5:$BH$5), --($K$3:$BH$3=1))</f>
        <v>8</v>
      </c>
      <c r="H45" s="9">
        <f t="shared" si="1"/>
        <v>57.142857142857139</v>
      </c>
      <c r="I45" s="1" cm="1">
        <f t="array" ref="I45">SUMPRODUCT(--(K45:BH45=$K$5:$BH$5), --($K$3:$BH$3=2))</f>
        <v>17</v>
      </c>
      <c r="J45" s="9">
        <f t="shared" si="2"/>
        <v>56.666666666666664</v>
      </c>
      <c r="K45" s="1" t="s">
        <v>3</v>
      </c>
      <c r="L45" s="1" t="s">
        <v>4</v>
      </c>
      <c r="M45" s="1" t="s">
        <v>5</v>
      </c>
      <c r="N45" s="1" t="s">
        <v>3</v>
      </c>
      <c r="O45" s="1" t="s">
        <v>3</v>
      </c>
      <c r="P45" s="1" t="s">
        <v>6</v>
      </c>
      <c r="Q45" s="1" t="s">
        <v>6</v>
      </c>
      <c r="R45" s="1" t="s">
        <v>4</v>
      </c>
      <c r="S45" s="1" t="s">
        <v>6</v>
      </c>
      <c r="T45" s="1" t="s">
        <v>4</v>
      </c>
      <c r="U45" s="1" t="s">
        <v>6</v>
      </c>
      <c r="V45" s="1" t="s">
        <v>6</v>
      </c>
      <c r="W45" s="1" t="s">
        <v>4</v>
      </c>
      <c r="X45" s="1" t="s">
        <v>5</v>
      </c>
      <c r="Y45" s="1" t="s">
        <v>4</v>
      </c>
      <c r="Z45" s="1" t="s">
        <v>3</v>
      </c>
      <c r="AA45" s="1" t="s">
        <v>5</v>
      </c>
      <c r="AB45" s="1" t="s">
        <v>4</v>
      </c>
      <c r="AC45" s="1" t="s">
        <v>6</v>
      </c>
      <c r="AD45" s="1" t="s">
        <v>5</v>
      </c>
      <c r="AE45" s="1" t="s">
        <v>6</v>
      </c>
      <c r="AF45" s="1" t="s">
        <v>6</v>
      </c>
      <c r="AG45" s="1" t="s">
        <v>3</v>
      </c>
      <c r="AH45" s="1" t="s">
        <v>6</v>
      </c>
      <c r="AI45" s="1" t="s">
        <v>4</v>
      </c>
      <c r="AJ45" s="1" t="s">
        <v>5</v>
      </c>
      <c r="AK45" s="1" t="s">
        <v>5</v>
      </c>
      <c r="AL45" s="1" t="s">
        <v>3</v>
      </c>
      <c r="AM45" s="1" t="s">
        <v>4</v>
      </c>
      <c r="AN45" s="1" t="s">
        <v>6</v>
      </c>
      <c r="AO45" s="1" t="s">
        <v>4</v>
      </c>
      <c r="AP45" s="1" t="s">
        <v>3</v>
      </c>
      <c r="AQ45" s="1" t="s">
        <v>5</v>
      </c>
      <c r="AR45" s="1" t="s">
        <v>3</v>
      </c>
      <c r="AS45" s="1" t="s">
        <v>3</v>
      </c>
      <c r="AT45" s="1" t="s">
        <v>6</v>
      </c>
      <c r="AU45" s="1" t="s">
        <v>6</v>
      </c>
      <c r="AV45" s="1" t="s">
        <v>4</v>
      </c>
      <c r="AW45" s="1" t="s">
        <v>3</v>
      </c>
      <c r="AX45" s="1" t="s">
        <v>5</v>
      </c>
      <c r="AY45" s="1" t="s">
        <v>5</v>
      </c>
      <c r="AZ45" s="1" t="s">
        <v>6</v>
      </c>
      <c r="BA45" s="1" t="s">
        <v>5</v>
      </c>
      <c r="BB45" s="1" t="s">
        <v>6</v>
      </c>
      <c r="BC45" s="1" t="s">
        <v>5</v>
      </c>
      <c r="BD45" s="1" t="s">
        <v>6</v>
      </c>
      <c r="BE45" s="1" t="s">
        <v>6</v>
      </c>
      <c r="BF45" s="1" t="s">
        <v>5</v>
      </c>
      <c r="BG45" s="1" t="s">
        <v>6</v>
      </c>
      <c r="BH45" s="1" t="s">
        <v>5</v>
      </c>
    </row>
    <row r="46" spans="1:60" x14ac:dyDescent="0.2">
      <c r="A46" s="14">
        <v>977963</v>
      </c>
      <c r="B46" s="15" t="s">
        <v>111</v>
      </c>
      <c r="C46" s="16">
        <v>43958</v>
      </c>
      <c r="D46" t="s">
        <v>112</v>
      </c>
      <c r="E46" s="1" cm="1">
        <f t="array" ref="E46">SUMPRODUCT(--(K46:BH46=$K$5:$BH$5))</f>
        <v>23</v>
      </c>
      <c r="F46" s="10">
        <f t="shared" si="0"/>
        <v>46</v>
      </c>
      <c r="G46" s="1" cm="1">
        <f t="array" ref="G46">SUMPRODUCT(--(K46:BH46=$K$5:$BH$5), --($K$3:$BH$3=1))</f>
        <v>7</v>
      </c>
      <c r="H46" s="9">
        <f t="shared" si="1"/>
        <v>50</v>
      </c>
      <c r="I46" s="1" cm="1">
        <f t="array" ref="I46">SUMPRODUCT(--(K46:BH46=$K$5:$BH$5), --($K$3:$BH$3=2))</f>
        <v>15</v>
      </c>
      <c r="J46" s="9">
        <f t="shared" si="2"/>
        <v>50</v>
      </c>
      <c r="K46" s="1" t="s">
        <v>3</v>
      </c>
      <c r="L46" s="1" t="s">
        <v>4</v>
      </c>
      <c r="M46" s="1" t="s">
        <v>5</v>
      </c>
      <c r="N46" s="1" t="s">
        <v>3</v>
      </c>
      <c r="O46" s="1" t="s">
        <v>3</v>
      </c>
      <c r="P46" s="1" t="s">
        <v>4</v>
      </c>
      <c r="Q46" s="1" t="s">
        <v>4</v>
      </c>
      <c r="R46" s="1" t="s">
        <v>4</v>
      </c>
      <c r="S46" s="1" t="s">
        <v>6</v>
      </c>
      <c r="T46" s="1" t="s">
        <v>4</v>
      </c>
      <c r="U46" s="1" t="s">
        <v>3</v>
      </c>
      <c r="V46" s="1" t="s">
        <v>6</v>
      </c>
      <c r="W46" s="1" t="s">
        <v>3</v>
      </c>
      <c r="X46" s="1" t="s">
        <v>5</v>
      </c>
      <c r="Y46" s="1" t="s">
        <v>4</v>
      </c>
      <c r="Z46" s="1" t="s">
        <v>3</v>
      </c>
      <c r="AA46" s="1" t="s">
        <v>5</v>
      </c>
      <c r="AB46" s="1" t="s">
        <v>3</v>
      </c>
      <c r="AC46" s="1" t="s">
        <v>5</v>
      </c>
      <c r="AD46" s="1" t="s">
        <v>6</v>
      </c>
      <c r="AE46" s="1" t="s">
        <v>5</v>
      </c>
      <c r="AF46" s="1" t="s">
        <v>3</v>
      </c>
      <c r="AG46" s="1" t="s">
        <v>3</v>
      </c>
      <c r="AH46" s="1" t="s">
        <v>5</v>
      </c>
      <c r="AI46" s="1" t="s">
        <v>6</v>
      </c>
      <c r="AJ46" s="1" t="s">
        <v>3</v>
      </c>
      <c r="AK46" s="1" t="s">
        <v>5</v>
      </c>
      <c r="AL46" s="1" t="s">
        <v>4</v>
      </c>
      <c r="AM46" s="1" t="s">
        <v>4</v>
      </c>
      <c r="AN46" s="1" t="s">
        <v>5</v>
      </c>
      <c r="AO46" s="1" t="s">
        <v>4</v>
      </c>
      <c r="AP46" s="1" t="s">
        <v>3</v>
      </c>
      <c r="AQ46" s="1" t="s">
        <v>4</v>
      </c>
      <c r="AR46" s="1" t="s">
        <v>6</v>
      </c>
      <c r="AS46" s="1" t="s">
        <v>3</v>
      </c>
      <c r="AT46" s="1" t="s">
        <v>6</v>
      </c>
      <c r="AU46" s="1" t="s">
        <v>3</v>
      </c>
      <c r="AV46" s="1" t="s">
        <v>3</v>
      </c>
      <c r="AW46" s="1" t="s">
        <v>6</v>
      </c>
      <c r="AX46" s="1" t="s">
        <v>3</v>
      </c>
      <c r="AY46" s="1" t="s">
        <v>4</v>
      </c>
      <c r="AZ46" s="1" t="s">
        <v>6</v>
      </c>
      <c r="BA46" s="1" t="s">
        <v>6</v>
      </c>
      <c r="BB46" s="1" t="s">
        <v>6</v>
      </c>
      <c r="BC46" s="1" t="s">
        <v>6</v>
      </c>
      <c r="BD46" s="1" t="s">
        <v>6</v>
      </c>
      <c r="BE46" s="1" t="s">
        <v>6</v>
      </c>
      <c r="BF46" s="1" t="s">
        <v>4</v>
      </c>
      <c r="BG46" s="1" t="s">
        <v>3</v>
      </c>
      <c r="BH46" s="1" t="s">
        <v>6</v>
      </c>
    </row>
    <row r="47" spans="1:60" x14ac:dyDescent="0.2">
      <c r="A47" s="14">
        <v>684403</v>
      </c>
      <c r="B47" s="15" t="s">
        <v>73</v>
      </c>
      <c r="C47" s="16">
        <v>43958</v>
      </c>
      <c r="D47" t="s">
        <v>74</v>
      </c>
      <c r="E47" s="1" cm="1">
        <f t="array" ref="E47">SUMPRODUCT(--(K47:BH47=$K$5:$BH$5))</f>
        <v>21</v>
      </c>
      <c r="F47" s="10">
        <f t="shared" si="0"/>
        <v>42</v>
      </c>
      <c r="G47" s="1" cm="1">
        <f t="array" ref="G47">SUMPRODUCT(--(K47:BH47=$K$5:$BH$5), --($K$3:$BH$3=1))</f>
        <v>7</v>
      </c>
      <c r="H47" s="9">
        <f t="shared" si="1"/>
        <v>50</v>
      </c>
      <c r="I47" s="1" cm="1">
        <f t="array" ref="I47">SUMPRODUCT(--(K47:BH47=$K$5:$BH$5), --($K$3:$BH$3=2))</f>
        <v>10</v>
      </c>
      <c r="J47" s="9">
        <f t="shared" si="2"/>
        <v>33.333333333333329</v>
      </c>
      <c r="K47" s="1" t="s">
        <v>3</v>
      </c>
      <c r="L47" s="1" t="s">
        <v>3</v>
      </c>
      <c r="M47" s="1" t="s">
        <v>3</v>
      </c>
      <c r="N47" s="1" t="s">
        <v>3</v>
      </c>
      <c r="O47" s="1" t="s">
        <v>6</v>
      </c>
      <c r="P47" s="1" t="s">
        <v>5</v>
      </c>
      <c r="Q47" s="1" t="s">
        <v>6</v>
      </c>
      <c r="R47" s="1" t="s">
        <v>4</v>
      </c>
      <c r="S47" s="1" t="s">
        <v>6</v>
      </c>
      <c r="T47" s="1" t="s">
        <v>4</v>
      </c>
      <c r="U47" s="1" t="s">
        <v>5</v>
      </c>
      <c r="V47" s="1" t="s">
        <v>5</v>
      </c>
      <c r="W47" s="1" t="s">
        <v>6</v>
      </c>
      <c r="X47" s="1" t="s">
        <v>5</v>
      </c>
      <c r="Y47" s="1" t="s">
        <v>5</v>
      </c>
      <c r="Z47" s="1" t="s">
        <v>6</v>
      </c>
      <c r="AA47" s="1" t="s">
        <v>5</v>
      </c>
      <c r="AB47" s="1" t="s">
        <v>4</v>
      </c>
      <c r="AC47" s="1" t="s">
        <v>4</v>
      </c>
      <c r="AD47" s="1" t="s">
        <v>6</v>
      </c>
      <c r="AE47" s="1" t="s">
        <v>4</v>
      </c>
      <c r="AF47" s="1" t="s">
        <v>6</v>
      </c>
      <c r="AG47" s="1" t="s">
        <v>3</v>
      </c>
      <c r="AH47" s="1" t="s">
        <v>3</v>
      </c>
      <c r="AI47" s="1" t="s">
        <v>4</v>
      </c>
      <c r="AJ47" s="1" t="s">
        <v>5</v>
      </c>
      <c r="AK47" s="1" t="s">
        <v>6</v>
      </c>
      <c r="AL47" s="1" t="s">
        <v>5</v>
      </c>
      <c r="AM47" s="1" t="s">
        <v>4</v>
      </c>
      <c r="AN47" s="1" t="s">
        <v>5</v>
      </c>
      <c r="AO47" s="1" t="s">
        <v>5</v>
      </c>
      <c r="AP47" s="1" t="s">
        <v>5</v>
      </c>
      <c r="AQ47" s="1" t="s">
        <v>5</v>
      </c>
      <c r="AR47" s="1" t="s">
        <v>6</v>
      </c>
      <c r="AS47" s="1" t="s">
        <v>5</v>
      </c>
      <c r="AT47" s="1" t="s">
        <v>5</v>
      </c>
      <c r="AU47" s="1" t="s">
        <v>6</v>
      </c>
      <c r="AV47" s="1" t="s">
        <v>4</v>
      </c>
      <c r="AW47" s="1" t="s">
        <v>6</v>
      </c>
      <c r="AX47" s="1" t="s">
        <v>6</v>
      </c>
      <c r="AY47" s="1" t="s">
        <v>5</v>
      </c>
      <c r="AZ47" s="1" t="s">
        <v>4</v>
      </c>
      <c r="BA47" s="1" t="s">
        <v>5</v>
      </c>
      <c r="BB47" s="1" t="s">
        <v>6</v>
      </c>
      <c r="BC47" s="1" t="s">
        <v>4</v>
      </c>
      <c r="BD47" s="1" t="s">
        <v>3</v>
      </c>
      <c r="BE47" s="1" t="s">
        <v>6</v>
      </c>
      <c r="BF47" s="1" t="s">
        <v>5</v>
      </c>
      <c r="BG47" s="1" t="s">
        <v>6</v>
      </c>
      <c r="BH47" s="1" t="s">
        <v>4</v>
      </c>
    </row>
    <row r="48" spans="1:60" x14ac:dyDescent="0.2">
      <c r="A48" s="14">
        <v>1014825</v>
      </c>
      <c r="B48" s="15" t="s">
        <v>121</v>
      </c>
      <c r="C48" s="16">
        <v>43958</v>
      </c>
      <c r="D48" t="s">
        <v>122</v>
      </c>
      <c r="E48" s="1" cm="1">
        <f t="array" ref="E48">SUMPRODUCT(--(K48:BH48=$K$5:$BH$5))</f>
        <v>22</v>
      </c>
      <c r="F48" s="10">
        <f t="shared" si="0"/>
        <v>44</v>
      </c>
      <c r="G48" s="1" cm="1">
        <f t="array" ref="G48">SUMPRODUCT(--(K48:BH48=$K$5:$BH$5), --($K$3:$BH$3=1))</f>
        <v>5</v>
      </c>
      <c r="H48" s="9">
        <f t="shared" si="1"/>
        <v>35.714285714285715</v>
      </c>
      <c r="I48" s="1" cm="1">
        <f t="array" ref="I48">SUMPRODUCT(--(K48:BH48=$K$5:$BH$5), --($K$3:$BH$3=2))</f>
        <v>16</v>
      </c>
      <c r="J48" s="9">
        <f t="shared" si="2"/>
        <v>53.333333333333336</v>
      </c>
      <c r="K48" s="1" t="s">
        <v>3</v>
      </c>
      <c r="L48" s="1" t="s">
        <v>4</v>
      </c>
      <c r="M48" s="1" t="s">
        <v>3</v>
      </c>
      <c r="N48" s="1" t="s">
        <v>4</v>
      </c>
      <c r="O48" s="1" t="s">
        <v>4</v>
      </c>
      <c r="P48" s="1" t="s">
        <v>4</v>
      </c>
      <c r="Q48" s="1" t="s">
        <v>6</v>
      </c>
      <c r="R48" s="1" t="s">
        <v>4</v>
      </c>
      <c r="S48" s="1" t="s">
        <v>6</v>
      </c>
      <c r="T48" s="1" t="s">
        <v>6</v>
      </c>
      <c r="U48" s="1" t="s">
        <v>5</v>
      </c>
      <c r="V48" s="1" t="s">
        <v>4</v>
      </c>
      <c r="W48" s="1" t="s">
        <v>3</v>
      </c>
      <c r="X48" s="1" t="s">
        <v>3</v>
      </c>
      <c r="Y48" s="1" t="s">
        <v>5</v>
      </c>
      <c r="Z48" s="1" t="s">
        <v>5</v>
      </c>
      <c r="AA48" s="1" t="s">
        <v>3</v>
      </c>
      <c r="AB48" s="1" t="s">
        <v>3</v>
      </c>
      <c r="AC48" s="1" t="s">
        <v>4</v>
      </c>
      <c r="AD48" s="1" t="s">
        <v>5</v>
      </c>
      <c r="AE48" s="1" t="s">
        <v>4</v>
      </c>
      <c r="AF48" s="1" t="s">
        <v>4</v>
      </c>
      <c r="AG48" s="1" t="s">
        <v>4</v>
      </c>
      <c r="AH48" s="1" t="s">
        <v>6</v>
      </c>
      <c r="AI48" s="1" t="s">
        <v>4</v>
      </c>
      <c r="AJ48" s="1" t="s">
        <v>5</v>
      </c>
      <c r="AK48" s="1" t="s">
        <v>4</v>
      </c>
      <c r="AL48" s="1" t="s">
        <v>6</v>
      </c>
      <c r="AM48" s="1" t="s">
        <v>3</v>
      </c>
      <c r="AN48" s="1" t="s">
        <v>4</v>
      </c>
      <c r="AO48" s="1" t="s">
        <v>5</v>
      </c>
      <c r="AP48" s="1" t="s">
        <v>5</v>
      </c>
      <c r="AQ48" s="1" t="s">
        <v>5</v>
      </c>
      <c r="AR48" s="1" t="s">
        <v>5</v>
      </c>
      <c r="AS48" s="1" t="s">
        <v>3</v>
      </c>
      <c r="AT48" s="1" t="s">
        <v>6</v>
      </c>
      <c r="AU48" s="1" t="s">
        <v>6</v>
      </c>
      <c r="AV48" s="1" t="s">
        <v>5</v>
      </c>
      <c r="AW48" s="1" t="s">
        <v>6</v>
      </c>
      <c r="AX48" s="1" t="s">
        <v>6</v>
      </c>
      <c r="AY48" s="1" t="s">
        <v>5</v>
      </c>
      <c r="AZ48" s="1" t="s">
        <v>6</v>
      </c>
      <c r="BA48" s="1" t="s">
        <v>5</v>
      </c>
      <c r="BB48" s="1" t="s">
        <v>4</v>
      </c>
      <c r="BC48" s="1" t="s">
        <v>3</v>
      </c>
      <c r="BD48" s="1" t="s">
        <v>3</v>
      </c>
      <c r="BE48" s="1" t="s">
        <v>4</v>
      </c>
      <c r="BF48" s="1" t="s">
        <v>6</v>
      </c>
      <c r="BG48" s="1" t="s">
        <v>5</v>
      </c>
      <c r="BH48" s="1" t="s">
        <v>5</v>
      </c>
    </row>
    <row r="49" spans="1:60" x14ac:dyDescent="0.2">
      <c r="A49" s="14">
        <v>977589</v>
      </c>
      <c r="B49" s="15" t="s">
        <v>109</v>
      </c>
      <c r="C49" s="16">
        <v>43958</v>
      </c>
      <c r="D49" t="s">
        <v>110</v>
      </c>
      <c r="E49" s="1" cm="1">
        <f t="array" ref="E49">SUMPRODUCT(--(K49:BH49=$K$5:$BH$5))</f>
        <v>21</v>
      </c>
      <c r="F49" s="10">
        <f t="shared" si="0"/>
        <v>42</v>
      </c>
      <c r="G49" s="1" cm="1">
        <f t="array" ref="G49">SUMPRODUCT(--(K49:BH49=$K$5:$BH$5), --($K$3:$BH$3=1))</f>
        <v>7</v>
      </c>
      <c r="H49" s="9">
        <f t="shared" si="1"/>
        <v>50</v>
      </c>
      <c r="I49" s="1" cm="1">
        <f t="array" ref="I49">SUMPRODUCT(--(K49:BH49=$K$5:$BH$5), --($K$3:$BH$3=2))</f>
        <v>12</v>
      </c>
      <c r="J49" s="9">
        <f t="shared" si="2"/>
        <v>40</v>
      </c>
      <c r="K49" s="1" t="s">
        <v>3</v>
      </c>
      <c r="L49" s="1" t="s">
        <v>4</v>
      </c>
      <c r="M49" s="1" t="s">
        <v>3</v>
      </c>
      <c r="N49" s="1" t="s">
        <v>5</v>
      </c>
      <c r="O49" s="1" t="s">
        <v>3</v>
      </c>
      <c r="P49" s="1" t="s">
        <v>6</v>
      </c>
      <c r="Q49" s="1" t="s">
        <v>3</v>
      </c>
      <c r="R49" s="1" t="s">
        <v>6</v>
      </c>
      <c r="S49" s="1" t="s">
        <v>6</v>
      </c>
      <c r="T49" s="1" t="s">
        <v>4</v>
      </c>
      <c r="U49" s="1" t="s">
        <v>3</v>
      </c>
      <c r="V49" s="1" t="s">
        <v>5</v>
      </c>
      <c r="W49" s="1" t="s">
        <v>4</v>
      </c>
      <c r="X49" s="1" t="s">
        <v>5</v>
      </c>
      <c r="Y49" s="1" t="s">
        <v>5</v>
      </c>
      <c r="Z49" s="1" t="s">
        <v>6</v>
      </c>
      <c r="AA49" s="1" t="s">
        <v>3</v>
      </c>
      <c r="AB49" s="1" t="s">
        <v>3</v>
      </c>
      <c r="AC49" s="1" t="s">
        <v>5</v>
      </c>
      <c r="AD49" s="1" t="s">
        <v>5</v>
      </c>
      <c r="AE49" s="1" t="s">
        <v>4</v>
      </c>
      <c r="AF49" s="1" t="s">
        <v>5</v>
      </c>
      <c r="AG49" s="1" t="s">
        <v>3</v>
      </c>
      <c r="AH49" s="1" t="s">
        <v>5</v>
      </c>
      <c r="AI49" s="1" t="s">
        <v>6</v>
      </c>
      <c r="AJ49" s="1" t="s">
        <v>5</v>
      </c>
      <c r="AK49" s="1" t="s">
        <v>5</v>
      </c>
      <c r="AL49" s="1" t="s">
        <v>3</v>
      </c>
      <c r="AM49" s="1" t="s">
        <v>4</v>
      </c>
      <c r="AN49" s="1" t="s">
        <v>6</v>
      </c>
      <c r="AO49" s="1" t="s">
        <v>4</v>
      </c>
      <c r="AP49" s="1" t="s">
        <v>3</v>
      </c>
      <c r="AQ49" s="1" t="s">
        <v>5</v>
      </c>
      <c r="AR49" s="1" t="s">
        <v>4</v>
      </c>
      <c r="AS49" s="1" t="s">
        <v>3</v>
      </c>
      <c r="AT49" s="1" t="s">
        <v>5</v>
      </c>
      <c r="AU49" s="1" t="s">
        <v>6</v>
      </c>
      <c r="AV49" s="1" t="s">
        <v>4</v>
      </c>
      <c r="AW49" s="1" t="s">
        <v>3</v>
      </c>
      <c r="AX49" s="1" t="s">
        <v>5</v>
      </c>
      <c r="AY49" s="1" t="s">
        <v>5</v>
      </c>
      <c r="AZ49" s="1" t="s">
        <v>6</v>
      </c>
      <c r="BA49" s="1" t="s">
        <v>3</v>
      </c>
      <c r="BB49" s="1" t="s">
        <v>6</v>
      </c>
      <c r="BC49" s="1" t="s">
        <v>5</v>
      </c>
      <c r="BD49" s="1" t="s">
        <v>6</v>
      </c>
      <c r="BE49" s="1" t="s">
        <v>6</v>
      </c>
      <c r="BF49" s="1" t="s">
        <v>5</v>
      </c>
      <c r="BG49" s="1" t="s">
        <v>6</v>
      </c>
      <c r="BH49" s="1" t="s">
        <v>5</v>
      </c>
    </row>
    <row r="50" spans="1:60" x14ac:dyDescent="0.2">
      <c r="A50" s="14">
        <v>792916</v>
      </c>
      <c r="B50" s="15" t="s">
        <v>85</v>
      </c>
      <c r="C50" s="16">
        <v>43958</v>
      </c>
      <c r="D50" t="s">
        <v>86</v>
      </c>
      <c r="E50" s="1" cm="1">
        <f t="array" ref="E50">SUMPRODUCT(--(K50:BH50=$K$5:$BH$5))</f>
        <v>26</v>
      </c>
      <c r="F50" s="10">
        <f t="shared" si="0"/>
        <v>52</v>
      </c>
      <c r="G50" s="1" cm="1">
        <f t="array" ref="G50">SUMPRODUCT(--(K50:BH50=$K$5:$BH$5), --($K$3:$BH$3=1))</f>
        <v>9</v>
      </c>
      <c r="H50" s="9">
        <f t="shared" si="1"/>
        <v>64.285714285714292</v>
      </c>
      <c r="I50" s="1" cm="1">
        <f t="array" ref="I50">SUMPRODUCT(--(K50:BH50=$K$5:$BH$5), --($K$3:$BH$3=2))</f>
        <v>15</v>
      </c>
      <c r="J50" s="9">
        <f t="shared" si="2"/>
        <v>50</v>
      </c>
      <c r="K50" s="1" t="s">
        <v>3</v>
      </c>
      <c r="L50" s="1" t="s">
        <v>5</v>
      </c>
      <c r="M50" s="1" t="s">
        <v>4</v>
      </c>
      <c r="N50" s="1" t="s">
        <v>6</v>
      </c>
      <c r="O50" s="1" t="s">
        <v>3</v>
      </c>
      <c r="P50" s="1" t="s">
        <v>3</v>
      </c>
      <c r="Q50" s="1" t="s">
        <v>4</v>
      </c>
      <c r="R50" s="1" t="s">
        <v>4</v>
      </c>
      <c r="S50" s="1" t="s">
        <v>6</v>
      </c>
      <c r="T50" s="1" t="s">
        <v>4</v>
      </c>
      <c r="U50" s="1" t="s">
        <v>6</v>
      </c>
      <c r="V50" s="1" t="s">
        <v>5</v>
      </c>
      <c r="W50" s="1" t="s">
        <v>6</v>
      </c>
      <c r="X50" s="1" t="s">
        <v>3</v>
      </c>
      <c r="Y50" s="1" t="s">
        <v>4</v>
      </c>
      <c r="Z50" s="1" t="s">
        <v>4</v>
      </c>
      <c r="AA50" s="1" t="s">
        <v>5</v>
      </c>
      <c r="AB50" s="1" t="s">
        <v>3</v>
      </c>
      <c r="AC50" s="1" t="s">
        <v>4</v>
      </c>
      <c r="AD50" s="1" t="s">
        <v>4</v>
      </c>
      <c r="AE50" s="1" t="s">
        <v>4</v>
      </c>
      <c r="AF50" s="1" t="s">
        <v>4</v>
      </c>
      <c r="AG50" s="1" t="s">
        <v>5</v>
      </c>
      <c r="AH50" s="1" t="s">
        <v>3</v>
      </c>
      <c r="AI50" s="1" t="s">
        <v>4</v>
      </c>
      <c r="AJ50" s="1" t="s">
        <v>6</v>
      </c>
      <c r="AK50" s="1" t="s">
        <v>5</v>
      </c>
      <c r="AL50" s="1" t="s">
        <v>3</v>
      </c>
      <c r="AM50" s="1" t="s">
        <v>4</v>
      </c>
      <c r="AN50" s="1" t="s">
        <v>6</v>
      </c>
      <c r="AO50" s="1" t="s">
        <v>4</v>
      </c>
      <c r="AP50" s="1" t="s">
        <v>3</v>
      </c>
      <c r="AQ50" s="1" t="s">
        <v>5</v>
      </c>
      <c r="AR50" s="1" t="s">
        <v>3</v>
      </c>
      <c r="AS50" s="1" t="s">
        <v>3</v>
      </c>
      <c r="AT50" s="1" t="s">
        <v>6</v>
      </c>
      <c r="AU50" s="1" t="s">
        <v>6</v>
      </c>
      <c r="AV50" s="1" t="s">
        <v>4</v>
      </c>
      <c r="AW50" s="1" t="s">
        <v>4</v>
      </c>
      <c r="AX50" s="1" t="s">
        <v>5</v>
      </c>
      <c r="AY50" s="1" t="s">
        <v>5</v>
      </c>
      <c r="AZ50" s="1" t="s">
        <v>6</v>
      </c>
      <c r="BA50" s="1" t="s">
        <v>5</v>
      </c>
      <c r="BB50" s="1" t="s">
        <v>4</v>
      </c>
      <c r="BC50" s="1" t="s">
        <v>3</v>
      </c>
      <c r="BD50" s="1" t="s">
        <v>4</v>
      </c>
      <c r="BE50" s="1" t="s">
        <v>6</v>
      </c>
      <c r="BF50" s="1" t="s">
        <v>6</v>
      </c>
      <c r="BG50" s="1" t="s">
        <v>5</v>
      </c>
      <c r="BH50" s="1" t="s">
        <v>6</v>
      </c>
    </row>
    <row r="51" spans="1:60" x14ac:dyDescent="0.2">
      <c r="A51" s="14">
        <v>934915</v>
      </c>
      <c r="B51" s="15" t="s">
        <v>103</v>
      </c>
      <c r="C51" s="16">
        <v>43958</v>
      </c>
      <c r="D51" t="s">
        <v>104</v>
      </c>
      <c r="E51" s="1" cm="1">
        <f t="array" ref="E51">SUMPRODUCT(--(K51:BH51=$K$5:$BH$5))</f>
        <v>21</v>
      </c>
      <c r="F51" s="10">
        <f t="shared" si="0"/>
        <v>42</v>
      </c>
      <c r="G51" s="1" cm="1">
        <f t="array" ref="G51">SUMPRODUCT(--(K51:BH51=$K$5:$BH$5), --($K$3:$BH$3=1))</f>
        <v>6</v>
      </c>
      <c r="H51" s="9">
        <f t="shared" si="1"/>
        <v>42.857142857142854</v>
      </c>
      <c r="I51" s="1" cm="1">
        <f t="array" ref="I51">SUMPRODUCT(--(K51:BH51=$K$5:$BH$5), --($K$3:$BH$3=2))</f>
        <v>11</v>
      </c>
      <c r="J51" s="9">
        <f t="shared" si="2"/>
        <v>36.666666666666664</v>
      </c>
      <c r="K51" s="1" t="s">
        <v>3</v>
      </c>
      <c r="L51" s="1" t="s">
        <v>6</v>
      </c>
      <c r="M51" s="1" t="s">
        <v>4</v>
      </c>
      <c r="N51" s="1" t="s">
        <v>4</v>
      </c>
      <c r="O51" s="1" t="s">
        <v>4</v>
      </c>
      <c r="P51" s="1" t="s">
        <v>6</v>
      </c>
      <c r="Q51" s="1" t="s">
        <v>6</v>
      </c>
      <c r="R51" s="1" t="s">
        <v>4</v>
      </c>
      <c r="S51" s="1" t="s">
        <v>4</v>
      </c>
      <c r="T51" s="1" t="s">
        <v>4</v>
      </c>
      <c r="U51" s="1" t="s">
        <v>5</v>
      </c>
      <c r="V51" s="1" t="s">
        <v>4</v>
      </c>
      <c r="W51" s="1" t="s">
        <v>3</v>
      </c>
      <c r="X51" s="1" t="s">
        <v>5</v>
      </c>
      <c r="Y51" s="1" t="s">
        <v>6</v>
      </c>
      <c r="Z51" s="1" t="s">
        <v>3</v>
      </c>
      <c r="AA51" s="1" t="s">
        <v>5</v>
      </c>
      <c r="AB51" s="1" t="s">
        <v>4</v>
      </c>
      <c r="AC51" s="1" t="s">
        <v>5</v>
      </c>
      <c r="AD51" s="1" t="s">
        <v>6</v>
      </c>
      <c r="AE51" s="1" t="s">
        <v>4</v>
      </c>
      <c r="AF51" s="1" t="s">
        <v>6</v>
      </c>
      <c r="AG51" s="1" t="s">
        <v>3</v>
      </c>
      <c r="AH51" s="1" t="s">
        <v>5</v>
      </c>
      <c r="AI51" s="1" t="s">
        <v>4</v>
      </c>
      <c r="AJ51" s="1" t="s">
        <v>5</v>
      </c>
      <c r="AK51" s="1" t="s">
        <v>5</v>
      </c>
      <c r="AL51" s="1" t="s">
        <v>3</v>
      </c>
      <c r="AM51" s="1" t="s">
        <v>4</v>
      </c>
      <c r="AN51" s="1" t="s">
        <v>6</v>
      </c>
      <c r="AO51" s="1" t="s">
        <v>4</v>
      </c>
      <c r="AP51" s="1" t="s">
        <v>4</v>
      </c>
      <c r="AQ51" s="1" t="s">
        <v>5</v>
      </c>
      <c r="AR51" s="1" t="s">
        <v>3</v>
      </c>
      <c r="AS51" s="1" t="s">
        <v>4</v>
      </c>
      <c r="AT51" s="1" t="s">
        <v>6</v>
      </c>
      <c r="AU51" s="1" t="s">
        <v>5</v>
      </c>
      <c r="AV51" s="1" t="s">
        <v>4</v>
      </c>
      <c r="AW51" s="1" t="s">
        <v>4</v>
      </c>
      <c r="AX51" s="1" t="s">
        <v>6</v>
      </c>
      <c r="AY51" s="1" t="s">
        <v>5</v>
      </c>
      <c r="AZ51" s="1" t="s">
        <v>5</v>
      </c>
      <c r="BA51" s="1" t="s">
        <v>5</v>
      </c>
      <c r="BB51" s="1" t="s">
        <v>6</v>
      </c>
      <c r="BC51" s="1" t="s">
        <v>4</v>
      </c>
      <c r="BD51" s="1" t="s">
        <v>3</v>
      </c>
      <c r="BE51" s="1" t="s">
        <v>5</v>
      </c>
      <c r="BF51" s="1" t="s">
        <v>6</v>
      </c>
      <c r="BG51" s="1" t="s">
        <v>6</v>
      </c>
      <c r="BH51" s="1" t="s">
        <v>5</v>
      </c>
    </row>
    <row r="52" spans="1:60" x14ac:dyDescent="0.2">
      <c r="A52" s="14">
        <v>574404</v>
      </c>
      <c r="B52" s="15" t="s">
        <v>69</v>
      </c>
      <c r="C52" s="16">
        <v>43958</v>
      </c>
      <c r="D52" t="s">
        <v>70</v>
      </c>
      <c r="E52" s="1" cm="1">
        <f t="array" ref="E52">SUMPRODUCT(--(K52:BH52=$K$5:$BH$5))</f>
        <v>22</v>
      </c>
      <c r="F52" s="10">
        <f t="shared" si="0"/>
        <v>44</v>
      </c>
      <c r="G52" s="1" cm="1">
        <f t="array" ref="G52">SUMPRODUCT(--(K52:BH52=$K$5:$BH$5), --($K$3:$BH$3=1))</f>
        <v>8</v>
      </c>
      <c r="H52" s="9">
        <f t="shared" si="1"/>
        <v>57.142857142857139</v>
      </c>
      <c r="I52" s="1" cm="1">
        <f t="array" ref="I52">SUMPRODUCT(--(K52:BH52=$K$5:$BH$5), --($K$3:$BH$3=2))</f>
        <v>13</v>
      </c>
      <c r="J52" s="9">
        <f t="shared" si="2"/>
        <v>43.333333333333336</v>
      </c>
      <c r="K52" s="1" t="s">
        <v>3</v>
      </c>
      <c r="L52" s="1" t="s">
        <v>3</v>
      </c>
      <c r="M52" s="1" t="s">
        <v>5</v>
      </c>
      <c r="N52" s="1" t="s">
        <v>6</v>
      </c>
      <c r="O52" s="1" t="s">
        <v>4</v>
      </c>
      <c r="P52" s="1" t="s">
        <v>5</v>
      </c>
      <c r="Q52" s="1" t="s">
        <v>6</v>
      </c>
      <c r="R52" s="1" t="s">
        <v>4</v>
      </c>
      <c r="S52" s="1" t="s">
        <v>6</v>
      </c>
      <c r="T52" s="1" t="s">
        <v>4</v>
      </c>
      <c r="U52" s="1" t="s">
        <v>5</v>
      </c>
      <c r="V52" s="1" t="s">
        <v>4</v>
      </c>
      <c r="W52" s="1" t="s">
        <v>5</v>
      </c>
      <c r="X52" s="1" t="s">
        <v>6</v>
      </c>
      <c r="Y52" s="1" t="s">
        <v>4</v>
      </c>
      <c r="Z52" s="1" t="s">
        <v>3</v>
      </c>
      <c r="AA52" s="1" t="s">
        <v>6</v>
      </c>
      <c r="AB52" s="1" t="s">
        <v>5</v>
      </c>
      <c r="AC52" s="1" t="s">
        <v>5</v>
      </c>
      <c r="AD52" s="1" t="s">
        <v>6</v>
      </c>
      <c r="AE52" s="1" t="s">
        <v>4</v>
      </c>
      <c r="AF52" s="1" t="s">
        <v>3</v>
      </c>
      <c r="AG52" s="1" t="s">
        <v>3</v>
      </c>
      <c r="AH52" s="1" t="s">
        <v>5</v>
      </c>
      <c r="AI52" s="1" t="s">
        <v>4</v>
      </c>
      <c r="AJ52" s="1" t="s">
        <v>5</v>
      </c>
      <c r="AK52" s="1" t="s">
        <v>5</v>
      </c>
      <c r="AL52" s="1" t="s">
        <v>5</v>
      </c>
      <c r="AM52" s="1" t="s">
        <v>4</v>
      </c>
      <c r="AN52" s="1" t="s">
        <v>5</v>
      </c>
      <c r="AO52" s="1" t="s">
        <v>6</v>
      </c>
      <c r="AP52" s="1" t="s">
        <v>3</v>
      </c>
      <c r="AQ52" s="1" t="s">
        <v>5</v>
      </c>
      <c r="AR52" s="1" t="s">
        <v>6</v>
      </c>
      <c r="AS52" s="1" t="s">
        <v>4</v>
      </c>
      <c r="AT52" s="1" t="s">
        <v>6</v>
      </c>
      <c r="AU52" s="1" t="s">
        <v>6</v>
      </c>
      <c r="AV52" s="1" t="s">
        <v>3</v>
      </c>
      <c r="AW52" s="1" t="s">
        <v>4</v>
      </c>
      <c r="AX52" s="1" t="s">
        <v>6</v>
      </c>
      <c r="AY52" s="1" t="s">
        <v>4</v>
      </c>
      <c r="AZ52" s="1" t="s">
        <v>4</v>
      </c>
      <c r="BA52" s="1" t="s">
        <v>5</v>
      </c>
      <c r="BB52" s="1" t="s">
        <v>3</v>
      </c>
      <c r="BC52" s="1" t="s">
        <v>6</v>
      </c>
      <c r="BD52" s="1" t="s">
        <v>5</v>
      </c>
      <c r="BE52" s="1" t="s">
        <v>4</v>
      </c>
      <c r="BF52" s="1" t="s">
        <v>3</v>
      </c>
      <c r="BG52" s="1" t="s">
        <v>5</v>
      </c>
      <c r="BH52" s="1" t="s">
        <v>6</v>
      </c>
    </row>
    <row r="53" spans="1:60" x14ac:dyDescent="0.2">
      <c r="A53" s="14">
        <v>547169</v>
      </c>
      <c r="B53" s="15" t="s">
        <v>67</v>
      </c>
      <c r="C53" s="16">
        <v>43958</v>
      </c>
      <c r="D53" t="s">
        <v>68</v>
      </c>
      <c r="E53" s="1" cm="1">
        <f t="array" ref="E53">SUMPRODUCT(--(K53:BH53=$K$5:$BH$5))</f>
        <v>23</v>
      </c>
      <c r="F53" s="10">
        <f t="shared" si="0"/>
        <v>46</v>
      </c>
      <c r="G53" s="1" cm="1">
        <f t="array" ref="G53">SUMPRODUCT(--(K53:BH53=$K$5:$BH$5), --($K$3:$BH$3=1))</f>
        <v>6</v>
      </c>
      <c r="H53" s="9">
        <f t="shared" si="1"/>
        <v>42.857142857142854</v>
      </c>
      <c r="I53" s="1" cm="1">
        <f t="array" ref="I53">SUMPRODUCT(--(K53:BH53=$K$5:$BH$5), --($K$3:$BH$3=2))</f>
        <v>16</v>
      </c>
      <c r="J53" s="9">
        <f t="shared" si="2"/>
        <v>53.333333333333336</v>
      </c>
      <c r="K53" s="1" t="s">
        <v>3</v>
      </c>
      <c r="L53" s="1" t="s">
        <v>4</v>
      </c>
      <c r="M53" s="1" t="s">
        <v>5</v>
      </c>
      <c r="N53" s="1" t="s">
        <v>3</v>
      </c>
      <c r="O53" s="1" t="s">
        <v>4</v>
      </c>
      <c r="P53" s="1" t="s">
        <v>6</v>
      </c>
      <c r="Q53" s="1" t="s">
        <v>5</v>
      </c>
      <c r="R53" s="1" t="s">
        <v>4</v>
      </c>
      <c r="S53" s="1" t="s">
        <v>4</v>
      </c>
      <c r="T53" s="1" t="s">
        <v>4</v>
      </c>
      <c r="U53" s="1" t="s">
        <v>4</v>
      </c>
      <c r="V53" s="1" t="s">
        <v>4</v>
      </c>
      <c r="W53" s="1" t="s">
        <v>5</v>
      </c>
      <c r="X53" s="1" t="s">
        <v>5</v>
      </c>
      <c r="Y53" s="1" t="s">
        <v>6</v>
      </c>
      <c r="Z53" s="1" t="s">
        <v>3</v>
      </c>
      <c r="AA53" s="1" t="s">
        <v>5</v>
      </c>
      <c r="AB53" s="1" t="s">
        <v>4</v>
      </c>
      <c r="AC53" s="1" t="s">
        <v>6</v>
      </c>
      <c r="AD53" s="1" t="s">
        <v>3</v>
      </c>
      <c r="AE53" s="1" t="s">
        <v>4</v>
      </c>
      <c r="AF53" s="1" t="s">
        <v>5</v>
      </c>
      <c r="AG53" s="1" t="s">
        <v>6</v>
      </c>
      <c r="AH53" s="1" t="s">
        <v>4</v>
      </c>
      <c r="AI53" s="1" t="s">
        <v>4</v>
      </c>
      <c r="AJ53" s="1" t="s">
        <v>5</v>
      </c>
      <c r="AK53" s="1" t="s">
        <v>4</v>
      </c>
      <c r="AL53" s="1" t="s">
        <v>5</v>
      </c>
      <c r="AM53" s="1" t="s">
        <v>4</v>
      </c>
      <c r="AN53" s="1" t="s">
        <v>4</v>
      </c>
      <c r="AO53" s="1" t="s">
        <v>5</v>
      </c>
      <c r="AP53" s="1" t="s">
        <v>5</v>
      </c>
      <c r="AQ53" s="1" t="s">
        <v>5</v>
      </c>
      <c r="AR53" s="1" t="s">
        <v>6</v>
      </c>
      <c r="AS53" s="1" t="s">
        <v>3</v>
      </c>
      <c r="AT53" s="1" t="s">
        <v>6</v>
      </c>
      <c r="AU53" s="1" t="s">
        <v>4</v>
      </c>
      <c r="AV53" s="1" t="s">
        <v>4</v>
      </c>
      <c r="AW53" s="1" t="s">
        <v>6</v>
      </c>
      <c r="AX53" s="1" t="s">
        <v>6</v>
      </c>
      <c r="AY53" s="1" t="s">
        <v>5</v>
      </c>
      <c r="AZ53" s="1" t="s">
        <v>6</v>
      </c>
      <c r="BA53" s="1" t="s">
        <v>4</v>
      </c>
      <c r="BB53" s="1" t="s">
        <v>4</v>
      </c>
      <c r="BC53" s="1" t="s">
        <v>3</v>
      </c>
      <c r="BD53" s="1" t="s">
        <v>3</v>
      </c>
      <c r="BE53" s="1" t="s">
        <v>6</v>
      </c>
      <c r="BF53" s="1" t="s">
        <v>3</v>
      </c>
      <c r="BG53" s="1" t="s">
        <v>4</v>
      </c>
      <c r="BH53" s="1" t="s">
        <v>6</v>
      </c>
    </row>
    <row r="54" spans="1:60" x14ac:dyDescent="0.2">
      <c r="A54" s="14">
        <v>997376</v>
      </c>
      <c r="B54" s="15" t="s">
        <v>117</v>
      </c>
      <c r="C54" s="16">
        <v>43958</v>
      </c>
      <c r="D54" t="s">
        <v>118</v>
      </c>
      <c r="E54" s="1" cm="1">
        <f t="array" ref="E54">SUMPRODUCT(--(K54:BH54=$K$5:$BH$5))</f>
        <v>16</v>
      </c>
      <c r="F54" s="10">
        <f t="shared" si="0"/>
        <v>32</v>
      </c>
      <c r="G54" s="1" cm="1">
        <f t="array" ref="G54">SUMPRODUCT(--(K54:BH54=$K$5:$BH$5), --($K$3:$BH$3=1))</f>
        <v>4</v>
      </c>
      <c r="H54" s="9">
        <f t="shared" si="1"/>
        <v>28.571428571428569</v>
      </c>
      <c r="I54" s="1" cm="1">
        <f t="array" ref="I54">SUMPRODUCT(--(K54:BH54=$K$5:$BH$5), --($K$3:$BH$3=2))</f>
        <v>8</v>
      </c>
      <c r="J54" s="9">
        <f t="shared" si="2"/>
        <v>26.666666666666668</v>
      </c>
      <c r="K54" s="1" t="s">
        <v>3</v>
      </c>
      <c r="L54" s="1" t="s">
        <v>3</v>
      </c>
      <c r="M54" s="1" t="s">
        <v>6</v>
      </c>
      <c r="N54" s="1" t="s">
        <v>6</v>
      </c>
      <c r="O54" s="1" t="s">
        <v>6</v>
      </c>
      <c r="P54" s="1" t="s">
        <v>5</v>
      </c>
      <c r="Q54" s="1" t="s">
        <v>5</v>
      </c>
      <c r="R54" s="1" t="s">
        <v>4</v>
      </c>
      <c r="S54" s="1" t="s">
        <v>3</v>
      </c>
      <c r="T54" s="1" t="s">
        <v>4</v>
      </c>
      <c r="U54" s="1" t="s">
        <v>5</v>
      </c>
      <c r="V54" s="1" t="s">
        <v>5</v>
      </c>
      <c r="W54" s="1" t="s">
        <v>6</v>
      </c>
      <c r="X54" s="1" t="s">
        <v>5</v>
      </c>
      <c r="Y54" s="1" t="s">
        <v>5</v>
      </c>
      <c r="Z54" s="1" t="s">
        <v>3</v>
      </c>
      <c r="AA54" s="1" t="s">
        <v>5</v>
      </c>
      <c r="AB54" s="1" t="s">
        <v>5</v>
      </c>
      <c r="AC54" s="1" t="s">
        <v>6</v>
      </c>
      <c r="AD54" s="1" t="s">
        <v>4</v>
      </c>
      <c r="AE54" s="1" t="s">
        <v>4</v>
      </c>
      <c r="AF54" s="1" t="s">
        <v>5</v>
      </c>
      <c r="AG54" s="1" t="s">
        <v>3</v>
      </c>
      <c r="AH54" s="1" t="s">
        <v>6</v>
      </c>
      <c r="AI54" s="1" t="s">
        <v>4</v>
      </c>
      <c r="AJ54" s="1" t="s">
        <v>4</v>
      </c>
      <c r="AK54" s="1" t="s">
        <v>6</v>
      </c>
      <c r="AL54" s="1" t="s">
        <v>5</v>
      </c>
      <c r="AM54" s="1" t="s">
        <v>4</v>
      </c>
      <c r="AN54" s="1" t="s">
        <v>3</v>
      </c>
      <c r="AO54" s="1" t="s">
        <v>6</v>
      </c>
      <c r="AP54" s="1" t="s">
        <v>5</v>
      </c>
      <c r="AQ54" s="1" t="s">
        <v>5</v>
      </c>
      <c r="AR54" s="1" t="s">
        <v>4</v>
      </c>
      <c r="AS54" s="1" t="s">
        <v>3</v>
      </c>
      <c r="AT54" s="1" t="s">
        <v>4</v>
      </c>
      <c r="AU54" s="1" t="s">
        <v>5</v>
      </c>
      <c r="AV54" s="1" t="s">
        <v>4</v>
      </c>
      <c r="AW54" s="1" t="s">
        <v>3</v>
      </c>
      <c r="AX54" s="1" t="s">
        <v>5</v>
      </c>
      <c r="AY54" s="1" t="s">
        <v>3</v>
      </c>
      <c r="AZ54" s="1" t="s">
        <v>4</v>
      </c>
      <c r="BA54" s="1" t="s">
        <v>5</v>
      </c>
      <c r="BB54" s="1" t="s">
        <v>3</v>
      </c>
      <c r="BC54" s="1" t="s">
        <v>6</v>
      </c>
      <c r="BD54" s="1" t="s">
        <v>4</v>
      </c>
      <c r="BE54" s="1" t="s">
        <v>5</v>
      </c>
      <c r="BF54" s="1" t="s">
        <v>4</v>
      </c>
      <c r="BG54" s="1" t="s">
        <v>6</v>
      </c>
      <c r="BH54" s="1" t="s">
        <v>5</v>
      </c>
    </row>
    <row r="55" spans="1:60" x14ac:dyDescent="0.2">
      <c r="A55" s="14">
        <v>754151</v>
      </c>
      <c r="B55" s="15" t="s">
        <v>77</v>
      </c>
      <c r="C55" s="16">
        <v>43958</v>
      </c>
      <c r="D55" t="s">
        <v>78</v>
      </c>
      <c r="E55" s="1" cm="1">
        <f t="array" ref="E55">SUMPRODUCT(--(K55:BH55=$K$5:$BH$5))</f>
        <v>19</v>
      </c>
      <c r="F55" s="10">
        <f t="shared" si="0"/>
        <v>38</v>
      </c>
      <c r="G55" s="1" cm="1">
        <f t="array" ref="G55">SUMPRODUCT(--(K55:BH55=$K$5:$BH$5), --($K$3:$BH$3=1))</f>
        <v>7</v>
      </c>
      <c r="H55" s="9">
        <f t="shared" si="1"/>
        <v>50</v>
      </c>
      <c r="I55" s="1" cm="1">
        <f t="array" ref="I55">SUMPRODUCT(--(K55:BH55=$K$5:$BH$5), --($K$3:$BH$3=2))</f>
        <v>10</v>
      </c>
      <c r="J55" s="9">
        <f t="shared" si="2"/>
        <v>33.333333333333329</v>
      </c>
      <c r="K55" s="1" t="s">
        <v>5</v>
      </c>
      <c r="L55" s="1" t="s">
        <v>3</v>
      </c>
      <c r="M55" s="1" t="s">
        <v>3</v>
      </c>
      <c r="N55" s="1" t="s">
        <v>6</v>
      </c>
      <c r="O55" s="1" t="s">
        <v>3</v>
      </c>
      <c r="P55" s="1" t="s">
        <v>6</v>
      </c>
      <c r="Q55" s="1" t="s">
        <v>6</v>
      </c>
      <c r="R55" s="1" t="s">
        <v>4</v>
      </c>
      <c r="S55" s="1" t="s">
        <v>3</v>
      </c>
      <c r="T55" s="1" t="s">
        <v>4</v>
      </c>
      <c r="U55" s="1" t="s">
        <v>5</v>
      </c>
      <c r="V55" s="1" t="s">
        <v>4</v>
      </c>
      <c r="W55" s="1" t="s">
        <v>4</v>
      </c>
      <c r="X55" s="1" t="s">
        <v>5</v>
      </c>
      <c r="Y55" s="1" t="s">
        <v>4</v>
      </c>
      <c r="Z55" s="1" t="s">
        <v>3</v>
      </c>
      <c r="AA55" s="1" t="s">
        <v>4</v>
      </c>
      <c r="AB55" s="1" t="s">
        <v>3</v>
      </c>
      <c r="AC55" s="1" t="s">
        <v>6</v>
      </c>
      <c r="AD55" s="1" t="s">
        <v>6</v>
      </c>
      <c r="AE55" s="1" t="s">
        <v>6</v>
      </c>
      <c r="AF55" s="1" t="s">
        <v>4</v>
      </c>
      <c r="AG55" s="1" t="s">
        <v>6</v>
      </c>
      <c r="AH55" s="1" t="s">
        <v>4</v>
      </c>
      <c r="AI55" s="1" t="s">
        <v>5</v>
      </c>
      <c r="AJ55" s="1" t="s">
        <v>5</v>
      </c>
      <c r="AK55" s="1" t="s">
        <v>6</v>
      </c>
      <c r="AL55" s="1" t="s">
        <v>4</v>
      </c>
      <c r="AM55" s="1" t="s">
        <v>4</v>
      </c>
      <c r="AN55" s="1" t="s">
        <v>6</v>
      </c>
      <c r="AO55" s="1" t="s">
        <v>4</v>
      </c>
      <c r="AP55" s="1" t="s">
        <v>4</v>
      </c>
      <c r="AQ55" s="1" t="s">
        <v>5</v>
      </c>
      <c r="AR55" s="1" t="s">
        <v>4</v>
      </c>
      <c r="AS55" s="1" t="s">
        <v>5</v>
      </c>
      <c r="AT55" s="1" t="s">
        <v>4</v>
      </c>
      <c r="AU55" s="1" t="s">
        <v>6</v>
      </c>
      <c r="AV55" s="1" t="s">
        <v>4</v>
      </c>
      <c r="AW55" s="1" t="s">
        <v>4</v>
      </c>
      <c r="AX55" s="1" t="s">
        <v>3</v>
      </c>
      <c r="AY55" s="1" t="s">
        <v>5</v>
      </c>
      <c r="AZ55" s="1" t="s">
        <v>4</v>
      </c>
      <c r="BA55" s="1" t="s">
        <v>5</v>
      </c>
      <c r="BB55" s="1" t="s">
        <v>4</v>
      </c>
      <c r="BC55" s="1" t="s">
        <v>6</v>
      </c>
      <c r="BD55" s="1" t="s">
        <v>3</v>
      </c>
      <c r="BE55" s="1" t="s">
        <v>6</v>
      </c>
      <c r="BF55" s="1" t="s">
        <v>5</v>
      </c>
      <c r="BG55" s="1" t="s">
        <v>3</v>
      </c>
      <c r="BH55" s="1" t="s">
        <v>4</v>
      </c>
    </row>
    <row r="57" spans="1:60" x14ac:dyDescent="0.2">
      <c r="A57" s="2"/>
      <c r="D57" s="3" t="s">
        <v>157</v>
      </c>
      <c r="E57" s="4">
        <f>AVERAGE(E8:E55)</f>
        <v>21.1875</v>
      </c>
      <c r="F57" s="4"/>
      <c r="G57" s="4"/>
      <c r="H57" s="4"/>
      <c r="I57" s="4"/>
    </row>
    <row r="58" spans="1:60" x14ac:dyDescent="0.2">
      <c r="A58" s="2"/>
      <c r="D58" s="3" t="s">
        <v>158</v>
      </c>
      <c r="E58" s="4">
        <f>STDEV(E8:E55)</f>
        <v>6.9086940293726542</v>
      </c>
      <c r="F58" s="4"/>
      <c r="G58" s="4"/>
      <c r="H58" s="4"/>
      <c r="I58" s="4"/>
    </row>
    <row r="59" spans="1:60" x14ac:dyDescent="0.2">
      <c r="A59" s="2"/>
      <c r="D59" s="3" t="s">
        <v>159</v>
      </c>
      <c r="E59">
        <f>MEDIAN(E8:E55)</f>
        <v>20.5</v>
      </c>
      <c r="F59"/>
      <c r="G59"/>
      <c r="H59"/>
      <c r="I59"/>
    </row>
    <row r="60" spans="1:60" x14ac:dyDescent="0.2">
      <c r="A60" s="2"/>
      <c r="D60" s="3" t="s">
        <v>163</v>
      </c>
      <c r="E60">
        <f>MODE(E8:E55)</f>
        <v>16</v>
      </c>
      <c r="F60"/>
      <c r="G60"/>
      <c r="H60"/>
      <c r="I60"/>
    </row>
    <row r="61" spans="1:60" x14ac:dyDescent="0.2">
      <c r="A61" s="2"/>
      <c r="D61" s="3" t="s">
        <v>161</v>
      </c>
      <c r="E61">
        <f>MAX(E8:E55)</f>
        <v>42</v>
      </c>
      <c r="F61"/>
      <c r="G61"/>
      <c r="H61"/>
      <c r="I61"/>
    </row>
    <row r="62" spans="1:60" x14ac:dyDescent="0.2">
      <c r="A62" s="2"/>
      <c r="D62" s="3" t="s">
        <v>162</v>
      </c>
      <c r="E62">
        <f>MIN(E8:E55)</f>
        <v>10</v>
      </c>
      <c r="F62"/>
      <c r="G62"/>
      <c r="H62"/>
      <c r="I62"/>
    </row>
    <row r="63" spans="1:60" x14ac:dyDescent="0.2">
      <c r="A63" s="2"/>
      <c r="D63" s="3" t="s">
        <v>160</v>
      </c>
      <c r="E63">
        <f>COUNT(E8:E55)</f>
        <v>48</v>
      </c>
      <c r="F63"/>
      <c r="G63"/>
      <c r="H63"/>
      <c r="I63"/>
    </row>
    <row r="64" spans="1:60" x14ac:dyDescent="0.2">
      <c r="A64" s="2"/>
    </row>
    <row r="65" spans="1:71" ht="15" x14ac:dyDescent="0.25">
      <c r="A65" s="2"/>
      <c r="R65" s="6"/>
      <c r="S65" s="6"/>
      <c r="T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</row>
    <row r="66" spans="1:71" ht="15" x14ac:dyDescent="0.25">
      <c r="A66" s="2"/>
      <c r="R66" s="6"/>
      <c r="S66" s="6"/>
      <c r="T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</row>
    <row r="67" spans="1:71" ht="15" x14ac:dyDescent="0.25">
      <c r="R67" s="6"/>
      <c r="S67" s="6"/>
      <c r="T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</row>
    <row r="68" spans="1:71" ht="15" x14ac:dyDescent="0.25">
      <c r="A68" s="2"/>
      <c r="R68" s="6"/>
      <c r="S68" s="6"/>
      <c r="T68" s="6"/>
    </row>
    <row r="69" spans="1:71" ht="15" x14ac:dyDescent="0.25">
      <c r="A69" s="2"/>
      <c r="R69" s="6"/>
      <c r="S69" s="6"/>
      <c r="T69" s="6"/>
    </row>
    <row r="70" spans="1:71" ht="15" x14ac:dyDescent="0.25">
      <c r="A70" s="2"/>
      <c r="R70" s="6"/>
      <c r="S70" s="6"/>
      <c r="T70" s="6"/>
    </row>
    <row r="71" spans="1:71" ht="15" x14ac:dyDescent="0.25">
      <c r="A71" s="2"/>
      <c r="R71" s="6"/>
      <c r="S71" s="6"/>
      <c r="T71" s="6"/>
    </row>
    <row r="72" spans="1:71" ht="15" x14ac:dyDescent="0.25">
      <c r="A72" s="2"/>
      <c r="R72" s="6"/>
      <c r="S72" s="6"/>
      <c r="T72" s="6"/>
    </row>
    <row r="73" spans="1:71" ht="15" x14ac:dyDescent="0.25">
      <c r="A73" s="2"/>
      <c r="R73" s="6"/>
      <c r="S73" s="6"/>
      <c r="T73" s="6"/>
    </row>
    <row r="74" spans="1:71" ht="15" x14ac:dyDescent="0.25">
      <c r="A74" s="2"/>
      <c r="R74" s="6"/>
      <c r="S74" s="6"/>
      <c r="T74" s="6"/>
    </row>
    <row r="75" spans="1:71" ht="15" x14ac:dyDescent="0.25">
      <c r="A75" s="2"/>
      <c r="R75" s="6"/>
      <c r="S75" s="6"/>
      <c r="T75" s="6"/>
    </row>
    <row r="76" spans="1:71" ht="15" x14ac:dyDescent="0.25">
      <c r="A76" s="2"/>
      <c r="R76" s="6"/>
      <c r="S76" s="6"/>
      <c r="T76" s="6"/>
    </row>
    <row r="77" spans="1:71" ht="15" x14ac:dyDescent="0.25">
      <c r="A77" s="2"/>
      <c r="R77" s="6"/>
      <c r="S77" s="6"/>
      <c r="T77" s="6"/>
    </row>
    <row r="78" spans="1:71" ht="15" x14ac:dyDescent="0.25">
      <c r="A78" s="2"/>
      <c r="R78" s="6"/>
      <c r="S78" s="6"/>
      <c r="T78" s="6"/>
    </row>
    <row r="79" spans="1:71" ht="15" x14ac:dyDescent="0.25">
      <c r="R79" s="6"/>
      <c r="S79" s="6"/>
      <c r="T79" s="6"/>
    </row>
    <row r="80" spans="1:71" ht="15" x14ac:dyDescent="0.25">
      <c r="A80" s="2"/>
      <c r="R80" s="6"/>
      <c r="S80" s="6"/>
      <c r="T80" s="6"/>
    </row>
    <row r="81" spans="1:20" ht="15" x14ac:dyDescent="0.25">
      <c r="A81" s="2"/>
      <c r="R81" s="6"/>
      <c r="S81" s="6"/>
      <c r="T81" s="6"/>
    </row>
    <row r="82" spans="1:20" ht="15" x14ac:dyDescent="0.25">
      <c r="A82" s="2"/>
      <c r="R82" s="6"/>
      <c r="S82" s="6"/>
      <c r="T82" s="6"/>
    </row>
    <row r="83" spans="1:20" ht="15" x14ac:dyDescent="0.25">
      <c r="A83" s="2"/>
      <c r="R83" s="6"/>
      <c r="S83" s="6"/>
      <c r="T83" s="6"/>
    </row>
    <row r="84" spans="1:20" ht="15" x14ac:dyDescent="0.25">
      <c r="A84" s="2"/>
      <c r="R84" s="6"/>
      <c r="S84" s="6"/>
      <c r="T84" s="6"/>
    </row>
    <row r="85" spans="1:20" ht="15" x14ac:dyDescent="0.25">
      <c r="A85" s="2"/>
      <c r="R85" s="6"/>
      <c r="S85" s="6"/>
      <c r="T85" s="6"/>
    </row>
    <row r="86" spans="1:20" ht="15" x14ac:dyDescent="0.25">
      <c r="A86" s="2"/>
      <c r="R86" s="6"/>
      <c r="S86" s="6"/>
      <c r="T86" s="6"/>
    </row>
    <row r="87" spans="1:20" ht="15" x14ac:dyDescent="0.25">
      <c r="A87" s="2"/>
      <c r="R87" s="6"/>
      <c r="S87" s="6"/>
      <c r="T87" s="6"/>
    </row>
    <row r="88" spans="1:20" ht="15" x14ac:dyDescent="0.25">
      <c r="A88" s="2"/>
      <c r="R88" s="6"/>
      <c r="S88" s="6"/>
      <c r="T88" s="6"/>
    </row>
    <row r="89" spans="1:20" ht="15" x14ac:dyDescent="0.25">
      <c r="A89" s="2"/>
      <c r="R89" s="6"/>
      <c r="S89" s="6"/>
      <c r="T89" s="6"/>
    </row>
    <row r="90" spans="1:20" ht="15" x14ac:dyDescent="0.25">
      <c r="A90" s="2"/>
      <c r="R90" s="6"/>
      <c r="S90" s="6"/>
      <c r="T90" s="6"/>
    </row>
    <row r="91" spans="1:20" ht="15" x14ac:dyDescent="0.25">
      <c r="A91" s="2"/>
      <c r="R91" s="6"/>
      <c r="S91" s="6"/>
      <c r="T91" s="6"/>
    </row>
    <row r="92" spans="1:20" ht="15" x14ac:dyDescent="0.25">
      <c r="A92" s="2"/>
      <c r="R92" s="6"/>
      <c r="S92" s="6"/>
      <c r="T92" s="6"/>
    </row>
    <row r="93" spans="1:20" ht="15" x14ac:dyDescent="0.25">
      <c r="A93" s="2"/>
      <c r="R93" s="6"/>
      <c r="S93" s="6"/>
      <c r="T93" s="6"/>
    </row>
    <row r="94" spans="1:20" ht="15" x14ac:dyDescent="0.25">
      <c r="A94" s="2"/>
      <c r="R94" s="6"/>
      <c r="S94" s="6"/>
      <c r="T94" s="6"/>
    </row>
    <row r="95" spans="1:20" ht="15" x14ac:dyDescent="0.25">
      <c r="A95" s="2"/>
      <c r="R95" s="6"/>
      <c r="S95" s="6"/>
      <c r="T95" s="6"/>
    </row>
    <row r="96" spans="1:20" ht="15" x14ac:dyDescent="0.25">
      <c r="A96" s="2"/>
      <c r="R96" s="6"/>
      <c r="S96" s="6"/>
      <c r="T96" s="6"/>
    </row>
    <row r="97" spans="1:20" ht="15" x14ac:dyDescent="0.25">
      <c r="A97" s="2"/>
      <c r="R97" s="6"/>
      <c r="S97" s="6"/>
      <c r="T97" s="6"/>
    </row>
    <row r="98" spans="1:20" ht="15" x14ac:dyDescent="0.25">
      <c r="A98" s="2"/>
      <c r="R98" s="6"/>
      <c r="S98" s="6"/>
      <c r="T98" s="6"/>
    </row>
    <row r="99" spans="1:20" ht="15" x14ac:dyDescent="0.25">
      <c r="A99" s="2"/>
      <c r="R99" s="6"/>
      <c r="S99" s="6"/>
      <c r="T99" s="6"/>
    </row>
    <row r="100" spans="1:20" ht="15" x14ac:dyDescent="0.25">
      <c r="A100" s="2"/>
      <c r="R100" s="6"/>
      <c r="S100" s="6"/>
      <c r="T100" s="6"/>
    </row>
    <row r="101" spans="1:20" ht="15" x14ac:dyDescent="0.25">
      <c r="A101" s="2"/>
      <c r="R101" s="6"/>
      <c r="S101" s="6"/>
      <c r="T101" s="6"/>
    </row>
    <row r="102" spans="1:20" ht="15" x14ac:dyDescent="0.25">
      <c r="A102" s="2"/>
      <c r="R102" s="6"/>
      <c r="S102" s="6"/>
      <c r="T102" s="6"/>
    </row>
    <row r="103" spans="1:20" ht="15" x14ac:dyDescent="0.25">
      <c r="A103" s="2"/>
      <c r="R103" s="6"/>
      <c r="S103" s="6"/>
      <c r="T103" s="6"/>
    </row>
    <row r="104" spans="1:20" ht="15" x14ac:dyDescent="0.25">
      <c r="A104" s="2"/>
      <c r="R104" s="6"/>
      <c r="S104" s="6"/>
      <c r="T104" s="6"/>
    </row>
    <row r="105" spans="1:20" ht="15" x14ac:dyDescent="0.25">
      <c r="A105" s="2"/>
      <c r="R105" s="6"/>
      <c r="S105" s="6"/>
      <c r="T105" s="6"/>
    </row>
    <row r="106" spans="1:20" ht="15" x14ac:dyDescent="0.25">
      <c r="R106" s="6"/>
      <c r="S106" s="6"/>
      <c r="T106" s="6"/>
    </row>
    <row r="107" spans="1:20" ht="15" x14ac:dyDescent="0.25">
      <c r="R107" s="6"/>
      <c r="S107" s="6"/>
      <c r="T107" s="6"/>
    </row>
    <row r="108" spans="1:20" ht="15" x14ac:dyDescent="0.25">
      <c r="A108" s="2"/>
      <c r="R108" s="6"/>
      <c r="S108" s="6"/>
      <c r="T108" s="6"/>
    </row>
    <row r="109" spans="1:20" ht="15" x14ac:dyDescent="0.25">
      <c r="A109" s="2"/>
      <c r="R109" s="6"/>
      <c r="S109" s="6"/>
      <c r="T109" s="6"/>
    </row>
    <row r="110" spans="1:20" ht="15" x14ac:dyDescent="0.25">
      <c r="A110" s="2"/>
      <c r="R110" s="6"/>
      <c r="S110" s="6"/>
      <c r="T110" s="6"/>
    </row>
    <row r="111" spans="1:20" ht="15" x14ac:dyDescent="0.25">
      <c r="A111" s="2"/>
      <c r="R111" s="6"/>
      <c r="S111" s="6"/>
      <c r="T111" s="6"/>
    </row>
    <row r="112" spans="1:20" ht="15" x14ac:dyDescent="0.25">
      <c r="A112" s="2"/>
      <c r="R112" s="6"/>
      <c r="S112" s="6"/>
      <c r="T112" s="6"/>
    </row>
    <row r="113" spans="1:20" ht="15" x14ac:dyDescent="0.25">
      <c r="R113" s="6"/>
      <c r="S113" s="6"/>
      <c r="T113" s="6"/>
    </row>
    <row r="114" spans="1:20" ht="15" x14ac:dyDescent="0.25">
      <c r="A114" s="2"/>
      <c r="R114" s="6"/>
      <c r="S114" s="6"/>
      <c r="T114" s="6"/>
    </row>
    <row r="115" spans="1:20" ht="15" x14ac:dyDescent="0.25">
      <c r="R115" s="6"/>
      <c r="S115" s="6"/>
      <c r="T115" s="6"/>
    </row>
  </sheetData>
  <sortState xmlns:xlrd2="http://schemas.microsoft.com/office/spreadsheetml/2017/richdata2" ref="A8:BH55">
    <sortCondition ref="C8:C55"/>
    <sortCondition ref="B8:B55"/>
  </sortState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19EED-E733-4D2C-9B19-E252BACB3385}">
  <dimension ref="A1:E56"/>
  <sheetViews>
    <sheetView workbookViewId="0"/>
  </sheetViews>
  <sheetFormatPr defaultRowHeight="12.75" x14ac:dyDescent="0.2"/>
  <cols>
    <col min="1" max="1" width="28.140625" customWidth="1"/>
    <col min="2" max="2" width="15.7109375" style="1" customWidth="1"/>
    <col min="3" max="3" width="24.140625" customWidth="1"/>
    <col min="4" max="4" width="11.140625" style="1" customWidth="1"/>
    <col min="5" max="5" width="9.140625" style="1"/>
  </cols>
  <sheetData>
    <row r="1" spans="1:5" x14ac:dyDescent="0.2">
      <c r="A1" t="s">
        <v>193</v>
      </c>
    </row>
    <row r="2" spans="1:5" x14ac:dyDescent="0.2">
      <c r="A2" t="s">
        <v>1</v>
      </c>
      <c r="B2" s="1" t="s">
        <v>183</v>
      </c>
      <c r="C2" t="s">
        <v>164</v>
      </c>
      <c r="D2" s="1" t="s">
        <v>195</v>
      </c>
      <c r="E2" s="1" t="s">
        <v>196</v>
      </c>
    </row>
    <row r="3" spans="1:5" x14ac:dyDescent="0.2">
      <c r="A3" t="s">
        <v>197</v>
      </c>
      <c r="B3">
        <v>694264</v>
      </c>
      <c r="C3" t="s">
        <v>198</v>
      </c>
      <c r="D3" s="1">
        <v>74.84</v>
      </c>
      <c r="E3" s="1" t="s">
        <v>6</v>
      </c>
    </row>
    <row r="4" spans="1:5" x14ac:dyDescent="0.2">
      <c r="A4" t="s">
        <v>89</v>
      </c>
      <c r="B4">
        <v>873290</v>
      </c>
      <c r="C4" t="s">
        <v>198</v>
      </c>
      <c r="D4" s="1">
        <v>90.89</v>
      </c>
      <c r="E4" s="1" t="s">
        <v>5</v>
      </c>
    </row>
    <row r="5" spans="1:5" x14ac:dyDescent="0.2">
      <c r="A5" t="s">
        <v>71</v>
      </c>
      <c r="B5">
        <v>576373</v>
      </c>
      <c r="C5" t="s">
        <v>198</v>
      </c>
      <c r="D5" s="1">
        <v>72.510000000000005</v>
      </c>
      <c r="E5" s="1" t="s">
        <v>6</v>
      </c>
    </row>
    <row r="6" spans="1:5" x14ac:dyDescent="0.2">
      <c r="A6" t="s">
        <v>115</v>
      </c>
      <c r="B6">
        <v>994114</v>
      </c>
      <c r="C6" t="s">
        <v>198</v>
      </c>
      <c r="D6" s="1">
        <v>60.97</v>
      </c>
      <c r="E6" s="1" t="s">
        <v>4</v>
      </c>
    </row>
    <row r="7" spans="1:5" x14ac:dyDescent="0.2">
      <c r="A7" t="s">
        <v>199</v>
      </c>
      <c r="B7">
        <v>1024952</v>
      </c>
      <c r="C7" t="s">
        <v>198</v>
      </c>
      <c r="D7" s="1">
        <v>70.41</v>
      </c>
      <c r="E7" s="1" t="s">
        <v>6</v>
      </c>
    </row>
    <row r="8" spans="1:5" x14ac:dyDescent="0.2">
      <c r="A8" t="s">
        <v>91</v>
      </c>
      <c r="B8">
        <v>888543</v>
      </c>
      <c r="C8" t="s">
        <v>198</v>
      </c>
      <c r="D8" s="1">
        <v>57.89</v>
      </c>
      <c r="E8" s="1" t="s">
        <v>4</v>
      </c>
    </row>
    <row r="9" spans="1:5" x14ac:dyDescent="0.2">
      <c r="A9" t="s">
        <v>200</v>
      </c>
      <c r="B9">
        <v>737921</v>
      </c>
      <c r="C9" t="s">
        <v>198</v>
      </c>
      <c r="D9" s="1">
        <v>49.3</v>
      </c>
      <c r="E9" s="1" t="s">
        <v>3</v>
      </c>
    </row>
    <row r="10" spans="1:5" x14ac:dyDescent="0.2">
      <c r="A10" t="s">
        <v>131</v>
      </c>
      <c r="B10">
        <v>1039936</v>
      </c>
      <c r="C10" t="s">
        <v>198</v>
      </c>
      <c r="D10" s="1">
        <v>56.71</v>
      </c>
      <c r="E10" s="1" t="s">
        <v>4</v>
      </c>
    </row>
    <row r="11" spans="1:5" x14ac:dyDescent="0.2">
      <c r="A11" t="s">
        <v>83</v>
      </c>
      <c r="B11">
        <v>790131</v>
      </c>
      <c r="C11" t="s">
        <v>198</v>
      </c>
      <c r="D11" s="1">
        <v>75.180000000000007</v>
      </c>
      <c r="E11" s="1" t="s">
        <v>6</v>
      </c>
    </row>
    <row r="12" spans="1:5" x14ac:dyDescent="0.2">
      <c r="A12" t="s">
        <v>63</v>
      </c>
      <c r="B12">
        <v>490011</v>
      </c>
      <c r="C12" t="s">
        <v>198</v>
      </c>
      <c r="D12" s="1">
        <v>48.54</v>
      </c>
      <c r="E12" s="1" t="s">
        <v>3</v>
      </c>
    </row>
    <row r="13" spans="1:5" x14ac:dyDescent="0.2">
      <c r="A13" t="s">
        <v>87</v>
      </c>
      <c r="B13">
        <v>871988</v>
      </c>
      <c r="C13" t="s">
        <v>198</v>
      </c>
      <c r="D13" s="1">
        <v>54.7</v>
      </c>
      <c r="E13" s="1" t="s">
        <v>3</v>
      </c>
    </row>
    <row r="14" spans="1:5" x14ac:dyDescent="0.2">
      <c r="A14" t="s">
        <v>143</v>
      </c>
      <c r="B14">
        <v>1028207</v>
      </c>
      <c r="C14" t="s">
        <v>198</v>
      </c>
      <c r="D14" s="1">
        <v>55.44</v>
      </c>
      <c r="E14" s="1" t="s">
        <v>4</v>
      </c>
    </row>
    <row r="15" spans="1:5" x14ac:dyDescent="0.2">
      <c r="A15" t="s">
        <v>61</v>
      </c>
      <c r="B15">
        <v>345856</v>
      </c>
      <c r="C15" t="s">
        <v>198</v>
      </c>
      <c r="D15" s="1">
        <v>65.010000000000005</v>
      </c>
      <c r="E15" s="1" t="s">
        <v>4</v>
      </c>
    </row>
    <row r="16" spans="1:5" x14ac:dyDescent="0.2">
      <c r="A16" t="s">
        <v>149</v>
      </c>
      <c r="B16">
        <v>986455</v>
      </c>
      <c r="C16" t="s">
        <v>198</v>
      </c>
      <c r="D16" s="1">
        <v>53.51</v>
      </c>
      <c r="E16" s="1" t="s">
        <v>3</v>
      </c>
    </row>
    <row r="17" spans="1:5" x14ac:dyDescent="0.2">
      <c r="A17" t="s">
        <v>135</v>
      </c>
      <c r="B17">
        <v>1047765</v>
      </c>
      <c r="C17" t="s">
        <v>198</v>
      </c>
      <c r="D17" s="1">
        <v>46.67</v>
      </c>
      <c r="E17" s="1" t="s">
        <v>3</v>
      </c>
    </row>
    <row r="18" spans="1:5" x14ac:dyDescent="0.2">
      <c r="A18" t="s">
        <v>119</v>
      </c>
      <c r="B18">
        <v>1012960</v>
      </c>
      <c r="C18" t="s">
        <v>198</v>
      </c>
      <c r="D18" s="1">
        <v>63.02</v>
      </c>
      <c r="E18" s="1" t="s">
        <v>4</v>
      </c>
    </row>
    <row r="19" spans="1:5" x14ac:dyDescent="0.2">
      <c r="A19" t="s">
        <v>129</v>
      </c>
      <c r="B19">
        <v>1039827</v>
      </c>
      <c r="C19" t="s">
        <v>198</v>
      </c>
      <c r="D19" s="1">
        <v>77.930000000000007</v>
      </c>
      <c r="E19" s="1" t="s">
        <v>5</v>
      </c>
    </row>
    <row r="20" spans="1:5" x14ac:dyDescent="0.2">
      <c r="A20" t="s">
        <v>127</v>
      </c>
      <c r="B20">
        <v>1035199</v>
      </c>
      <c r="C20" t="s">
        <v>198</v>
      </c>
      <c r="D20" s="1">
        <v>63.46</v>
      </c>
      <c r="E20" s="1" t="s">
        <v>4</v>
      </c>
    </row>
    <row r="21" spans="1:5" x14ac:dyDescent="0.2">
      <c r="A21" t="s">
        <v>95</v>
      </c>
      <c r="B21">
        <v>895473</v>
      </c>
      <c r="C21" t="s">
        <v>198</v>
      </c>
      <c r="D21" s="1">
        <v>72.510000000000005</v>
      </c>
      <c r="E21" s="1" t="s">
        <v>6</v>
      </c>
    </row>
    <row r="22" spans="1:5" x14ac:dyDescent="0.2">
      <c r="A22" t="s">
        <v>201</v>
      </c>
      <c r="B22">
        <v>523330</v>
      </c>
      <c r="C22" t="s">
        <v>198</v>
      </c>
      <c r="D22" s="1">
        <v>74.430000000000007</v>
      </c>
      <c r="E22" s="1" t="s">
        <v>6</v>
      </c>
    </row>
    <row r="23" spans="1:5" x14ac:dyDescent="0.2">
      <c r="A23" t="s">
        <v>107</v>
      </c>
      <c r="B23">
        <v>964444</v>
      </c>
      <c r="C23" t="s">
        <v>198</v>
      </c>
      <c r="D23" s="1">
        <v>81.09</v>
      </c>
      <c r="E23" s="1" t="s">
        <v>5</v>
      </c>
    </row>
    <row r="24" spans="1:5" x14ac:dyDescent="0.2">
      <c r="A24" t="s">
        <v>147</v>
      </c>
      <c r="B24">
        <v>1022282</v>
      </c>
      <c r="C24" t="s">
        <v>198</v>
      </c>
      <c r="D24" s="1">
        <v>47.47</v>
      </c>
      <c r="E24" s="1" t="s">
        <v>3</v>
      </c>
    </row>
    <row r="25" spans="1:5" x14ac:dyDescent="0.2">
      <c r="A25" t="s">
        <v>202</v>
      </c>
      <c r="B25">
        <v>924739</v>
      </c>
      <c r="C25" t="s">
        <v>198</v>
      </c>
      <c r="D25" s="1">
        <v>67.06</v>
      </c>
      <c r="E25" s="1" t="s">
        <v>6</v>
      </c>
    </row>
    <row r="26" spans="1:5" x14ac:dyDescent="0.2">
      <c r="A26" t="s">
        <v>93</v>
      </c>
      <c r="B26">
        <v>891883</v>
      </c>
      <c r="C26" t="s">
        <v>198</v>
      </c>
      <c r="D26" s="1">
        <v>60.43</v>
      </c>
      <c r="E26" s="1" t="s">
        <v>4</v>
      </c>
    </row>
    <row r="27" spans="1:5" x14ac:dyDescent="0.2">
      <c r="A27" t="s">
        <v>139</v>
      </c>
      <c r="B27">
        <v>1068669</v>
      </c>
      <c r="C27" t="s">
        <v>198</v>
      </c>
      <c r="D27" s="1">
        <v>92.99</v>
      </c>
      <c r="E27" s="1" t="s">
        <v>5</v>
      </c>
    </row>
    <row r="28" spans="1:5" x14ac:dyDescent="0.2">
      <c r="A28" t="s">
        <v>97</v>
      </c>
      <c r="B28">
        <v>896290</v>
      </c>
      <c r="C28" t="s">
        <v>198</v>
      </c>
      <c r="D28" s="1">
        <v>63.1</v>
      </c>
      <c r="E28" s="1" t="s">
        <v>4</v>
      </c>
    </row>
    <row r="29" spans="1:5" x14ac:dyDescent="0.2">
      <c r="A29" t="s">
        <v>81</v>
      </c>
      <c r="B29">
        <v>775232</v>
      </c>
      <c r="C29" t="s">
        <v>198</v>
      </c>
      <c r="D29" s="1">
        <v>50.71</v>
      </c>
      <c r="E29" s="1" t="s">
        <v>3</v>
      </c>
    </row>
    <row r="30" spans="1:5" x14ac:dyDescent="0.2">
      <c r="A30" t="s">
        <v>101</v>
      </c>
      <c r="B30">
        <v>934216</v>
      </c>
      <c r="C30" t="s">
        <v>198</v>
      </c>
      <c r="D30" s="1">
        <v>67.64</v>
      </c>
      <c r="E30" s="1" t="s">
        <v>6</v>
      </c>
    </row>
    <row r="31" spans="1:5" x14ac:dyDescent="0.2">
      <c r="A31" t="s">
        <v>123</v>
      </c>
      <c r="B31">
        <v>1016534</v>
      </c>
      <c r="C31" t="s">
        <v>203</v>
      </c>
      <c r="D31" s="1">
        <v>57.63</v>
      </c>
      <c r="E31" s="1" t="s">
        <v>4</v>
      </c>
    </row>
    <row r="32" spans="1:5" x14ac:dyDescent="0.2">
      <c r="A32" t="s">
        <v>153</v>
      </c>
      <c r="B32">
        <v>1070102</v>
      </c>
      <c r="C32" t="s">
        <v>203</v>
      </c>
      <c r="D32" s="1">
        <v>62.92</v>
      </c>
      <c r="E32" s="1" t="s">
        <v>4</v>
      </c>
    </row>
    <row r="33" spans="1:5" x14ac:dyDescent="0.2">
      <c r="A33" t="s">
        <v>204</v>
      </c>
      <c r="B33">
        <v>1065569</v>
      </c>
      <c r="C33" t="s">
        <v>203</v>
      </c>
      <c r="D33" s="1">
        <v>72.849999999999994</v>
      </c>
      <c r="E33" s="1" t="s">
        <v>6</v>
      </c>
    </row>
    <row r="34" spans="1:5" x14ac:dyDescent="0.2">
      <c r="A34" t="s">
        <v>79</v>
      </c>
      <c r="B34">
        <v>759215</v>
      </c>
      <c r="C34" t="s">
        <v>203</v>
      </c>
      <c r="D34" s="1">
        <v>76.08</v>
      </c>
      <c r="E34" s="1" t="s">
        <v>5</v>
      </c>
    </row>
    <row r="35" spans="1:5" x14ac:dyDescent="0.2">
      <c r="A35" t="s">
        <v>145</v>
      </c>
      <c r="B35">
        <v>778750</v>
      </c>
      <c r="C35" t="s">
        <v>203</v>
      </c>
      <c r="D35" s="1">
        <v>77.569999999999993</v>
      </c>
      <c r="E35" s="1" t="s">
        <v>5</v>
      </c>
    </row>
    <row r="36" spans="1:5" x14ac:dyDescent="0.2">
      <c r="A36" t="s">
        <v>205</v>
      </c>
      <c r="B36">
        <v>1063699</v>
      </c>
      <c r="C36" t="s">
        <v>203</v>
      </c>
      <c r="D36" s="1">
        <v>52.39</v>
      </c>
      <c r="E36" s="1" t="s">
        <v>3</v>
      </c>
    </row>
    <row r="37" spans="1:5" x14ac:dyDescent="0.2">
      <c r="A37" t="s">
        <v>155</v>
      </c>
      <c r="B37">
        <v>910945</v>
      </c>
      <c r="C37" t="s">
        <v>203</v>
      </c>
      <c r="D37" s="1">
        <v>45.64</v>
      </c>
      <c r="E37" s="1" t="s">
        <v>3</v>
      </c>
    </row>
    <row r="38" spans="1:5" x14ac:dyDescent="0.2">
      <c r="A38" t="s">
        <v>141</v>
      </c>
      <c r="B38">
        <v>928878</v>
      </c>
      <c r="C38" t="s">
        <v>203</v>
      </c>
      <c r="D38" s="1">
        <v>68.7</v>
      </c>
      <c r="E38" s="1" t="s">
        <v>6</v>
      </c>
    </row>
    <row r="39" spans="1:5" x14ac:dyDescent="0.2">
      <c r="A39" t="s">
        <v>113</v>
      </c>
      <c r="B39">
        <v>982244</v>
      </c>
      <c r="C39" t="s">
        <v>203</v>
      </c>
      <c r="D39" s="1">
        <v>52.13</v>
      </c>
      <c r="E39" s="1" t="s">
        <v>3</v>
      </c>
    </row>
    <row r="40" spans="1:5" x14ac:dyDescent="0.2">
      <c r="A40" t="s">
        <v>151</v>
      </c>
      <c r="B40">
        <v>1038679</v>
      </c>
      <c r="C40" t="s">
        <v>203</v>
      </c>
      <c r="D40" s="1">
        <v>61.35</v>
      </c>
      <c r="E40" s="1" t="s">
        <v>4</v>
      </c>
    </row>
    <row r="41" spans="1:5" x14ac:dyDescent="0.2">
      <c r="A41" t="s">
        <v>105</v>
      </c>
      <c r="B41">
        <v>958268</v>
      </c>
      <c r="C41" t="s">
        <v>203</v>
      </c>
      <c r="D41" s="1">
        <v>74.010000000000005</v>
      </c>
      <c r="E41" s="1" t="s">
        <v>6</v>
      </c>
    </row>
    <row r="42" spans="1:5" x14ac:dyDescent="0.2">
      <c r="A42" t="s">
        <v>133</v>
      </c>
      <c r="B42">
        <v>1043694</v>
      </c>
      <c r="C42" t="s">
        <v>203</v>
      </c>
      <c r="D42" s="1">
        <v>86.16</v>
      </c>
      <c r="E42" s="1" t="s">
        <v>5</v>
      </c>
    </row>
    <row r="43" spans="1:5" x14ac:dyDescent="0.2">
      <c r="A43" t="s">
        <v>206</v>
      </c>
      <c r="B43">
        <v>997908</v>
      </c>
      <c r="C43" t="s">
        <v>203</v>
      </c>
      <c r="D43" s="1">
        <v>20.59</v>
      </c>
      <c r="E43" s="1" t="s">
        <v>207</v>
      </c>
    </row>
    <row r="44" spans="1:5" x14ac:dyDescent="0.2">
      <c r="A44" t="s">
        <v>111</v>
      </c>
      <c r="B44">
        <v>977963</v>
      </c>
      <c r="C44" t="s">
        <v>203</v>
      </c>
      <c r="D44" s="1">
        <v>61.41</v>
      </c>
      <c r="E44" s="1" t="s">
        <v>4</v>
      </c>
    </row>
    <row r="45" spans="1:5" x14ac:dyDescent="0.2">
      <c r="A45" t="s">
        <v>208</v>
      </c>
      <c r="B45">
        <v>808147</v>
      </c>
      <c r="C45" t="s">
        <v>203</v>
      </c>
      <c r="D45" s="1">
        <v>46.53</v>
      </c>
      <c r="E45" s="1" t="s">
        <v>3</v>
      </c>
    </row>
    <row r="46" spans="1:5" x14ac:dyDescent="0.2">
      <c r="A46" t="s">
        <v>209</v>
      </c>
      <c r="B46">
        <v>1023372</v>
      </c>
      <c r="C46" t="s">
        <v>203</v>
      </c>
      <c r="D46" s="1">
        <v>26.72</v>
      </c>
      <c r="E46" s="1" t="s">
        <v>207</v>
      </c>
    </row>
    <row r="47" spans="1:5" x14ac:dyDescent="0.2">
      <c r="A47" t="s">
        <v>210</v>
      </c>
      <c r="B47">
        <v>684403</v>
      </c>
      <c r="C47" t="s">
        <v>203</v>
      </c>
      <c r="D47" s="1">
        <v>74.39</v>
      </c>
      <c r="E47" s="1" t="s">
        <v>6</v>
      </c>
    </row>
    <row r="48" spans="1:5" x14ac:dyDescent="0.2">
      <c r="A48" t="s">
        <v>211</v>
      </c>
      <c r="B48">
        <v>1014825</v>
      </c>
      <c r="C48" t="s">
        <v>203</v>
      </c>
      <c r="D48" s="1">
        <v>77.569999999999993</v>
      </c>
      <c r="E48" s="1" t="s">
        <v>5</v>
      </c>
    </row>
    <row r="49" spans="1:5" x14ac:dyDescent="0.2">
      <c r="A49" t="s">
        <v>109</v>
      </c>
      <c r="B49">
        <v>977589</v>
      </c>
      <c r="C49" t="s">
        <v>203</v>
      </c>
      <c r="D49" s="1">
        <v>75.16</v>
      </c>
      <c r="E49" s="1" t="s">
        <v>6</v>
      </c>
    </row>
    <row r="50" spans="1:5" x14ac:dyDescent="0.2">
      <c r="A50" t="s">
        <v>85</v>
      </c>
      <c r="B50">
        <v>792916</v>
      </c>
      <c r="C50" t="s">
        <v>203</v>
      </c>
      <c r="D50" s="1">
        <v>74.75</v>
      </c>
      <c r="E50" s="1" t="s">
        <v>6</v>
      </c>
    </row>
    <row r="51" spans="1:5" x14ac:dyDescent="0.2">
      <c r="A51" t="s">
        <v>212</v>
      </c>
      <c r="B51">
        <v>833771</v>
      </c>
      <c r="C51" t="s">
        <v>203</v>
      </c>
      <c r="D51" s="1">
        <v>42.88</v>
      </c>
      <c r="E51" s="1" t="s">
        <v>207</v>
      </c>
    </row>
    <row r="52" spans="1:5" x14ac:dyDescent="0.2">
      <c r="A52" t="s">
        <v>103</v>
      </c>
      <c r="B52">
        <v>934915</v>
      </c>
      <c r="C52" t="s">
        <v>203</v>
      </c>
      <c r="D52" s="1">
        <v>71.150000000000006</v>
      </c>
      <c r="E52" s="1" t="s">
        <v>6</v>
      </c>
    </row>
    <row r="53" spans="1:5" x14ac:dyDescent="0.2">
      <c r="A53" t="s">
        <v>69</v>
      </c>
      <c r="B53">
        <v>574404</v>
      </c>
      <c r="C53" t="s">
        <v>203</v>
      </c>
      <c r="D53" s="1">
        <v>63.98</v>
      </c>
      <c r="E53" s="1" t="s">
        <v>4</v>
      </c>
    </row>
    <row r="54" spans="1:5" x14ac:dyDescent="0.2">
      <c r="A54" t="s">
        <v>67</v>
      </c>
      <c r="B54">
        <v>547169</v>
      </c>
      <c r="C54" t="s">
        <v>203</v>
      </c>
      <c r="D54" s="1">
        <v>78.67</v>
      </c>
      <c r="E54" s="1" t="s">
        <v>5</v>
      </c>
    </row>
    <row r="55" spans="1:5" x14ac:dyDescent="0.2">
      <c r="A55" t="s">
        <v>117</v>
      </c>
      <c r="B55">
        <v>997376</v>
      </c>
      <c r="C55" t="s">
        <v>203</v>
      </c>
      <c r="D55" s="1">
        <v>69.84</v>
      </c>
      <c r="E55" s="1" t="s">
        <v>6</v>
      </c>
    </row>
    <row r="56" spans="1:5" x14ac:dyDescent="0.2">
      <c r="A56" t="s">
        <v>77</v>
      </c>
      <c r="B56">
        <v>754151</v>
      </c>
      <c r="C56" t="s">
        <v>203</v>
      </c>
      <c r="D56" s="1">
        <v>63.05</v>
      </c>
      <c r="E56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2B51-F27A-4BEC-8753-E54154D642B0}">
  <dimension ref="A1:C50"/>
  <sheetViews>
    <sheetView workbookViewId="0"/>
  </sheetViews>
  <sheetFormatPr defaultRowHeight="12.75" x14ac:dyDescent="0.2"/>
  <cols>
    <col min="1" max="1" width="22.7109375" customWidth="1"/>
    <col min="2" max="2" width="12.85546875" customWidth="1"/>
    <col min="3" max="3" width="12" style="1" customWidth="1"/>
  </cols>
  <sheetData>
    <row r="1" spans="1:3" x14ac:dyDescent="0.2">
      <c r="A1" s="21" t="s">
        <v>1</v>
      </c>
      <c r="B1" s="21" t="s">
        <v>194</v>
      </c>
      <c r="C1" s="21" t="s">
        <v>166</v>
      </c>
    </row>
    <row r="2" spans="1:3" ht="15" x14ac:dyDescent="0.25">
      <c r="A2" s="20" t="s">
        <v>197</v>
      </c>
      <c r="B2">
        <v>694264</v>
      </c>
      <c r="C2" s="22">
        <v>46</v>
      </c>
    </row>
    <row r="3" spans="1:3" ht="15" x14ac:dyDescent="0.25">
      <c r="A3" t="s">
        <v>89</v>
      </c>
      <c r="B3">
        <v>873290</v>
      </c>
      <c r="C3" s="22">
        <v>58</v>
      </c>
    </row>
    <row r="4" spans="1:3" ht="15" x14ac:dyDescent="0.25">
      <c r="A4" t="s">
        <v>123</v>
      </c>
      <c r="B4">
        <v>1016534</v>
      </c>
      <c r="C4" s="22">
        <v>50</v>
      </c>
    </row>
    <row r="5" spans="1:3" ht="15" x14ac:dyDescent="0.25">
      <c r="A5" t="s">
        <v>153</v>
      </c>
      <c r="B5">
        <v>1070102</v>
      </c>
      <c r="C5" s="22">
        <v>50</v>
      </c>
    </row>
    <row r="6" spans="1:3" ht="15" x14ac:dyDescent="0.25">
      <c r="A6" s="20" t="s">
        <v>204</v>
      </c>
      <c r="B6">
        <v>1065569</v>
      </c>
      <c r="C6" s="22">
        <v>53</v>
      </c>
    </row>
    <row r="7" spans="1:3" ht="15" x14ac:dyDescent="0.25">
      <c r="A7" t="s">
        <v>79</v>
      </c>
      <c r="B7">
        <v>759215</v>
      </c>
      <c r="C7" s="22">
        <v>55</v>
      </c>
    </row>
    <row r="8" spans="1:3" ht="15" x14ac:dyDescent="0.25">
      <c r="A8" t="s">
        <v>71</v>
      </c>
      <c r="B8">
        <v>576373</v>
      </c>
      <c r="C8" s="22">
        <v>58</v>
      </c>
    </row>
    <row r="9" spans="1:3" ht="15" x14ac:dyDescent="0.25">
      <c r="A9" t="s">
        <v>115</v>
      </c>
      <c r="B9">
        <v>994114</v>
      </c>
      <c r="C9" s="22">
        <v>43</v>
      </c>
    </row>
    <row r="10" spans="1:3" ht="15" x14ac:dyDescent="0.25">
      <c r="A10" t="s">
        <v>91</v>
      </c>
      <c r="B10">
        <v>888543</v>
      </c>
      <c r="C10" s="22">
        <v>36</v>
      </c>
    </row>
    <row r="11" spans="1:3" ht="15" x14ac:dyDescent="0.25">
      <c r="A11" t="s">
        <v>200</v>
      </c>
      <c r="B11">
        <v>737921</v>
      </c>
      <c r="C11" s="22">
        <v>40</v>
      </c>
    </row>
    <row r="12" spans="1:3" ht="15" x14ac:dyDescent="0.25">
      <c r="A12" t="s">
        <v>131</v>
      </c>
      <c r="B12">
        <v>1039936</v>
      </c>
      <c r="C12" s="22">
        <v>68</v>
      </c>
    </row>
    <row r="13" spans="1:3" ht="15" x14ac:dyDescent="0.25">
      <c r="A13" t="s">
        <v>83</v>
      </c>
      <c r="B13">
        <v>790131</v>
      </c>
      <c r="C13" s="22">
        <v>57</v>
      </c>
    </row>
    <row r="14" spans="1:3" ht="15" x14ac:dyDescent="0.25">
      <c r="A14" t="s">
        <v>145</v>
      </c>
      <c r="B14">
        <v>778750</v>
      </c>
      <c r="C14" s="22">
        <v>56</v>
      </c>
    </row>
    <row r="15" spans="1:3" ht="15" x14ac:dyDescent="0.25">
      <c r="A15" t="s">
        <v>63</v>
      </c>
      <c r="B15">
        <v>490011</v>
      </c>
      <c r="C15" s="22">
        <v>56</v>
      </c>
    </row>
    <row r="16" spans="1:3" ht="15" x14ac:dyDescent="0.25">
      <c r="A16" t="s">
        <v>205</v>
      </c>
      <c r="B16">
        <v>1063699</v>
      </c>
      <c r="C16" s="22">
        <v>41</v>
      </c>
    </row>
    <row r="17" spans="1:3" ht="15" x14ac:dyDescent="0.25">
      <c r="A17" t="s">
        <v>155</v>
      </c>
      <c r="B17">
        <v>910945</v>
      </c>
      <c r="C17" s="22">
        <v>51</v>
      </c>
    </row>
    <row r="18" spans="1:3" ht="15" x14ac:dyDescent="0.25">
      <c r="A18" t="s">
        <v>141</v>
      </c>
      <c r="B18">
        <v>928878</v>
      </c>
      <c r="C18" s="22">
        <v>55</v>
      </c>
    </row>
    <row r="19" spans="1:3" ht="15" x14ac:dyDescent="0.25">
      <c r="A19" t="s">
        <v>87</v>
      </c>
      <c r="B19">
        <v>871988</v>
      </c>
      <c r="C19" s="22">
        <v>30</v>
      </c>
    </row>
    <row r="20" spans="1:3" ht="15" x14ac:dyDescent="0.25">
      <c r="A20" t="s">
        <v>113</v>
      </c>
      <c r="B20">
        <v>982244</v>
      </c>
      <c r="C20" s="22">
        <v>43</v>
      </c>
    </row>
    <row r="21" spans="1:3" ht="15" x14ac:dyDescent="0.25">
      <c r="A21" t="s">
        <v>151</v>
      </c>
      <c r="B21">
        <v>1038679</v>
      </c>
      <c r="C21" s="22">
        <v>61</v>
      </c>
    </row>
    <row r="22" spans="1:3" ht="15" x14ac:dyDescent="0.25">
      <c r="A22" t="s">
        <v>105</v>
      </c>
      <c r="B22">
        <v>958268</v>
      </c>
      <c r="C22" s="22">
        <v>81</v>
      </c>
    </row>
    <row r="23" spans="1:3" ht="15" x14ac:dyDescent="0.25">
      <c r="A23" t="s">
        <v>133</v>
      </c>
      <c r="B23">
        <v>1043694</v>
      </c>
      <c r="C23" s="22">
        <v>68</v>
      </c>
    </row>
    <row r="24" spans="1:3" ht="15" x14ac:dyDescent="0.25">
      <c r="A24" t="s">
        <v>143</v>
      </c>
      <c r="B24">
        <v>1028207</v>
      </c>
      <c r="C24" s="22">
        <v>41</v>
      </c>
    </row>
    <row r="25" spans="1:3" ht="15" x14ac:dyDescent="0.25">
      <c r="A25" t="s">
        <v>111</v>
      </c>
      <c r="B25">
        <v>977963</v>
      </c>
      <c r="C25" s="22">
        <v>62</v>
      </c>
    </row>
    <row r="26" spans="1:3" ht="15" x14ac:dyDescent="0.25">
      <c r="A26" t="s">
        <v>61</v>
      </c>
      <c r="B26">
        <v>345856</v>
      </c>
      <c r="C26" s="22">
        <v>32</v>
      </c>
    </row>
    <row r="27" spans="1:3" ht="15" x14ac:dyDescent="0.25">
      <c r="A27" s="20" t="s">
        <v>210</v>
      </c>
      <c r="B27">
        <v>684403</v>
      </c>
      <c r="C27" s="22">
        <v>58</v>
      </c>
    </row>
    <row r="28" spans="1:3" ht="15" x14ac:dyDescent="0.25">
      <c r="A28" t="s">
        <v>149</v>
      </c>
      <c r="B28">
        <v>986455</v>
      </c>
      <c r="C28" s="22">
        <v>57</v>
      </c>
    </row>
    <row r="29" spans="1:3" ht="15" x14ac:dyDescent="0.25">
      <c r="A29" t="s">
        <v>135</v>
      </c>
      <c r="B29">
        <v>1047765</v>
      </c>
      <c r="C29" s="22">
        <v>60</v>
      </c>
    </row>
    <row r="30" spans="1:3" ht="15" x14ac:dyDescent="0.25">
      <c r="A30" s="20" t="s">
        <v>211</v>
      </c>
      <c r="B30">
        <v>1014825</v>
      </c>
      <c r="C30" s="22">
        <v>80</v>
      </c>
    </row>
    <row r="31" spans="1:3" ht="15" x14ac:dyDescent="0.25">
      <c r="A31" t="s">
        <v>109</v>
      </c>
      <c r="B31">
        <v>977589</v>
      </c>
      <c r="C31" s="22">
        <v>62</v>
      </c>
    </row>
    <row r="32" spans="1:3" ht="15" x14ac:dyDescent="0.25">
      <c r="A32" t="s">
        <v>119</v>
      </c>
      <c r="B32">
        <v>1012960</v>
      </c>
      <c r="C32" s="22">
        <v>59</v>
      </c>
    </row>
    <row r="33" spans="1:3" ht="15" x14ac:dyDescent="0.25">
      <c r="A33" t="s">
        <v>129</v>
      </c>
      <c r="B33">
        <v>1039827</v>
      </c>
      <c r="C33" s="22">
        <v>78</v>
      </c>
    </row>
    <row r="34" spans="1:3" ht="15" x14ac:dyDescent="0.25">
      <c r="A34" t="s">
        <v>85</v>
      </c>
      <c r="B34">
        <v>792916</v>
      </c>
      <c r="C34" s="22">
        <v>53</v>
      </c>
    </row>
    <row r="35" spans="1:3" ht="15" x14ac:dyDescent="0.25">
      <c r="A35" t="s">
        <v>127</v>
      </c>
      <c r="B35">
        <v>1035199</v>
      </c>
      <c r="C35" s="22">
        <v>71</v>
      </c>
    </row>
    <row r="36" spans="1:3" ht="15" x14ac:dyDescent="0.25">
      <c r="A36" t="s">
        <v>95</v>
      </c>
      <c r="B36">
        <v>895473</v>
      </c>
      <c r="C36" s="22">
        <v>72</v>
      </c>
    </row>
    <row r="37" spans="1:3" ht="15" x14ac:dyDescent="0.25">
      <c r="A37" s="20" t="s">
        <v>201</v>
      </c>
      <c r="B37">
        <v>523330</v>
      </c>
      <c r="C37" s="22">
        <v>54</v>
      </c>
    </row>
    <row r="38" spans="1:3" ht="15" x14ac:dyDescent="0.25">
      <c r="A38" t="s">
        <v>103</v>
      </c>
      <c r="B38">
        <v>934915</v>
      </c>
      <c r="C38" s="22">
        <v>66</v>
      </c>
    </row>
    <row r="39" spans="1:3" ht="15" x14ac:dyDescent="0.25">
      <c r="A39" t="s">
        <v>69</v>
      </c>
      <c r="B39">
        <v>574404</v>
      </c>
      <c r="C39" s="22">
        <v>52</v>
      </c>
    </row>
    <row r="40" spans="1:3" ht="15" x14ac:dyDescent="0.25">
      <c r="A40" t="s">
        <v>107</v>
      </c>
      <c r="B40">
        <v>964444</v>
      </c>
      <c r="C40" s="22">
        <v>60</v>
      </c>
    </row>
    <row r="41" spans="1:3" ht="15" x14ac:dyDescent="0.25">
      <c r="A41" t="s">
        <v>67</v>
      </c>
      <c r="B41">
        <v>547169</v>
      </c>
      <c r="C41" s="22">
        <v>76</v>
      </c>
    </row>
    <row r="42" spans="1:3" ht="15" x14ac:dyDescent="0.25">
      <c r="A42" t="s">
        <v>147</v>
      </c>
      <c r="B42">
        <v>1022282</v>
      </c>
      <c r="C42" s="22">
        <v>47</v>
      </c>
    </row>
    <row r="43" spans="1:3" ht="15" x14ac:dyDescent="0.25">
      <c r="A43" s="20" t="s">
        <v>202</v>
      </c>
      <c r="B43">
        <v>924739</v>
      </c>
      <c r="C43" s="22">
        <v>50</v>
      </c>
    </row>
    <row r="44" spans="1:3" ht="15" x14ac:dyDescent="0.25">
      <c r="A44" t="s">
        <v>93</v>
      </c>
      <c r="B44">
        <v>891883</v>
      </c>
      <c r="C44" s="22">
        <v>42</v>
      </c>
    </row>
    <row r="45" spans="1:3" ht="15" x14ac:dyDescent="0.25">
      <c r="A45" t="s">
        <v>139</v>
      </c>
      <c r="B45">
        <v>1068669</v>
      </c>
      <c r="C45" s="22">
        <v>89</v>
      </c>
    </row>
    <row r="46" spans="1:3" ht="15" x14ac:dyDescent="0.25">
      <c r="A46" t="s">
        <v>97</v>
      </c>
      <c r="B46">
        <v>896290</v>
      </c>
      <c r="C46" s="22">
        <v>47</v>
      </c>
    </row>
    <row r="47" spans="1:3" ht="15" x14ac:dyDescent="0.25">
      <c r="A47" t="s">
        <v>81</v>
      </c>
      <c r="B47">
        <v>775232</v>
      </c>
      <c r="C47" s="22">
        <v>18</v>
      </c>
    </row>
    <row r="48" spans="1:3" ht="15" x14ac:dyDescent="0.25">
      <c r="A48" t="s">
        <v>101</v>
      </c>
      <c r="B48">
        <v>934216</v>
      </c>
      <c r="C48" s="22">
        <v>60</v>
      </c>
    </row>
    <row r="49" spans="1:3" ht="15" x14ac:dyDescent="0.25">
      <c r="A49" t="s">
        <v>117</v>
      </c>
      <c r="B49">
        <v>997376</v>
      </c>
      <c r="C49" s="22">
        <v>65</v>
      </c>
    </row>
    <row r="50" spans="1:3" ht="15" x14ac:dyDescent="0.25">
      <c r="A50" t="s">
        <v>77</v>
      </c>
      <c r="B50">
        <v>754151</v>
      </c>
      <c r="C50" s="22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46066-C217-4509-8E24-AA89AE6F4218}">
  <dimension ref="A1:M55"/>
  <sheetViews>
    <sheetView tabSelected="1" workbookViewId="0">
      <selection activeCell="M2" sqref="M2"/>
    </sheetView>
  </sheetViews>
  <sheetFormatPr defaultRowHeight="12.75" x14ac:dyDescent="0.2"/>
  <cols>
    <col min="1" max="1" width="8.7109375" customWidth="1"/>
    <col min="2" max="2" width="11.85546875" customWidth="1"/>
    <col min="3" max="3" width="12.7109375" customWidth="1"/>
    <col min="4" max="4" width="10.5703125" customWidth="1"/>
    <col min="5" max="5" width="6.85546875" customWidth="1"/>
    <col min="6" max="6" width="12.28515625" customWidth="1"/>
    <col min="7" max="7" width="11.85546875" customWidth="1"/>
    <col min="8" max="8" width="24.42578125" customWidth="1"/>
    <col min="9" max="9" width="13.42578125" customWidth="1"/>
    <col min="10" max="10" width="17.42578125" customWidth="1"/>
    <col min="11" max="11" width="15.5703125" style="1" customWidth="1"/>
    <col min="12" max="14" width="15.5703125" customWidth="1"/>
  </cols>
  <sheetData>
    <row r="1" spans="1:13" s="18" customFormat="1" ht="28.5" customHeight="1" x14ac:dyDescent="0.25">
      <c r="A1" s="17" t="s">
        <v>177</v>
      </c>
      <c r="B1" s="17" t="s">
        <v>178</v>
      </c>
      <c r="C1" s="17" t="s">
        <v>179</v>
      </c>
      <c r="D1" s="17" t="s">
        <v>180</v>
      </c>
      <c r="E1" s="17" t="s">
        <v>181</v>
      </c>
      <c r="F1" s="17" t="s">
        <v>182</v>
      </c>
      <c r="G1" s="17" t="s">
        <v>183</v>
      </c>
      <c r="H1" s="17" t="s">
        <v>164</v>
      </c>
      <c r="I1" s="17" t="s">
        <v>184</v>
      </c>
      <c r="J1" s="17" t="s">
        <v>185</v>
      </c>
      <c r="K1" s="19" t="s">
        <v>186</v>
      </c>
      <c r="L1" s="17" t="s">
        <v>187</v>
      </c>
      <c r="M1" s="17" t="s">
        <v>188</v>
      </c>
    </row>
    <row r="2" spans="1:13" x14ac:dyDescent="0.2">
      <c r="A2" t="s">
        <v>189</v>
      </c>
      <c r="B2" t="s">
        <v>190</v>
      </c>
      <c r="C2" t="s">
        <v>191</v>
      </c>
      <c r="D2" t="s">
        <v>192</v>
      </c>
      <c r="E2">
        <v>25</v>
      </c>
      <c r="F2">
        <v>2018</v>
      </c>
      <c r="G2">
        <f>'Primary Data'!A8</f>
        <v>694264</v>
      </c>
      <c r="H2" t="str">
        <f>"CHEM-3A-"&amp;'Primary Data'!C8&amp;"-2025FA"</f>
        <v>CHEM-3A-43957-2025FA</v>
      </c>
      <c r="I2" s="1" t="str">
        <f>_xlfn.XLOOKUP(G2,'Course Grades'!$B$3:$B$56,'Course Grades'!$E$3:$E$56)</f>
        <v>B</v>
      </c>
      <c r="J2" s="1">
        <f>'Primary Data'!E8</f>
        <v>24</v>
      </c>
      <c r="K2" s="8">
        <f>'Primary Data'!H8</f>
        <v>42.857142857142854</v>
      </c>
      <c r="L2" s="8">
        <f>'Primary Data'!J8</f>
        <v>43.333333333333336</v>
      </c>
      <c r="M2" s="1">
        <f>_xlfn.XLOOKUP(G2,'Lab Practical Score'!$B$2:$B$50,'Lab Practical Score'!$C$2:$C$50)</f>
        <v>46</v>
      </c>
    </row>
    <row r="3" spans="1:13" x14ac:dyDescent="0.2">
      <c r="A3" t="s">
        <v>189</v>
      </c>
      <c r="B3" t="s">
        <v>190</v>
      </c>
      <c r="C3" t="s">
        <v>191</v>
      </c>
      <c r="D3" t="s">
        <v>192</v>
      </c>
      <c r="E3">
        <v>25</v>
      </c>
      <c r="F3">
        <v>2018</v>
      </c>
      <c r="G3">
        <f>'Primary Data'!A9</f>
        <v>873290</v>
      </c>
      <c r="H3" t="str">
        <f>"CHEM-3A-"&amp;'Primary Data'!C9&amp;"-2025FA"</f>
        <v>CHEM-3A-43957-2025FA</v>
      </c>
      <c r="I3" s="1" t="str">
        <f>_xlfn.XLOOKUP(G3,'Course Grades'!$B$3:$B$56,'Course Grades'!$E$3:$E$56)</f>
        <v>A</v>
      </c>
      <c r="J3" s="1">
        <f>'Primary Data'!E9</f>
        <v>42</v>
      </c>
      <c r="K3" s="8">
        <f>'Primary Data'!H9</f>
        <v>85.714285714285708</v>
      </c>
      <c r="L3" s="8">
        <f>'Primary Data'!J9</f>
        <v>86.666666666666671</v>
      </c>
      <c r="M3" s="1">
        <f>_xlfn.XLOOKUP(G3,'Lab Practical Score'!$B$2:$B$50,'Lab Practical Score'!$C$2:$C$50)</f>
        <v>58</v>
      </c>
    </row>
    <row r="4" spans="1:13" x14ac:dyDescent="0.2">
      <c r="A4" t="s">
        <v>189</v>
      </c>
      <c r="B4" t="s">
        <v>190</v>
      </c>
      <c r="C4" t="s">
        <v>191</v>
      </c>
      <c r="D4" t="s">
        <v>192</v>
      </c>
      <c r="E4">
        <v>25</v>
      </c>
      <c r="F4">
        <v>2018</v>
      </c>
      <c r="G4">
        <f>'Primary Data'!A10</f>
        <v>576373</v>
      </c>
      <c r="H4" t="str">
        <f>"CHEM-3A-"&amp;'Primary Data'!C10&amp;"-2025FA"</f>
        <v>CHEM-3A-43957-2025FA</v>
      </c>
      <c r="I4" s="1" t="str">
        <f>_xlfn.XLOOKUP(G4,'Course Grades'!$B$3:$B$56,'Course Grades'!$E$3:$E$56)</f>
        <v>B</v>
      </c>
      <c r="J4" s="1">
        <f>'Primary Data'!E10</f>
        <v>29</v>
      </c>
      <c r="K4" s="8">
        <f>'Primary Data'!H10</f>
        <v>50</v>
      </c>
      <c r="L4" s="8">
        <f>'Primary Data'!J10</f>
        <v>63.333333333333329</v>
      </c>
      <c r="M4" s="1">
        <f>_xlfn.XLOOKUP(G4,'Lab Practical Score'!$B$2:$B$50,'Lab Practical Score'!$C$2:$C$50)</f>
        <v>58</v>
      </c>
    </row>
    <row r="5" spans="1:13" x14ac:dyDescent="0.2">
      <c r="A5" t="s">
        <v>189</v>
      </c>
      <c r="B5" t="s">
        <v>190</v>
      </c>
      <c r="C5" t="s">
        <v>191</v>
      </c>
      <c r="D5" t="s">
        <v>192</v>
      </c>
      <c r="E5">
        <v>25</v>
      </c>
      <c r="F5">
        <v>2018</v>
      </c>
      <c r="G5">
        <f>'Primary Data'!A11</f>
        <v>994114</v>
      </c>
      <c r="H5" t="str">
        <f>"CHEM-3A-"&amp;'Primary Data'!C11&amp;"-2025FA"</f>
        <v>CHEM-3A-43957-2025FA</v>
      </c>
      <c r="I5" s="1" t="str">
        <f>_xlfn.XLOOKUP(G5,'Course Grades'!$B$3:$B$56,'Course Grades'!$E$3:$E$56)</f>
        <v>C</v>
      </c>
      <c r="J5" s="1">
        <f>'Primary Data'!E11</f>
        <v>17</v>
      </c>
      <c r="K5" s="8">
        <f>'Primary Data'!H11</f>
        <v>21.428571428571427</v>
      </c>
      <c r="L5" s="8">
        <f>'Primary Data'!J11</f>
        <v>43.333333333333336</v>
      </c>
      <c r="M5" s="1">
        <f>_xlfn.XLOOKUP(G5,'Lab Practical Score'!$B$2:$B$50,'Lab Practical Score'!$C$2:$C$50)</f>
        <v>43</v>
      </c>
    </row>
    <row r="6" spans="1:13" x14ac:dyDescent="0.2">
      <c r="A6" t="s">
        <v>189</v>
      </c>
      <c r="B6" t="s">
        <v>190</v>
      </c>
      <c r="C6" t="s">
        <v>191</v>
      </c>
      <c r="D6" t="s">
        <v>192</v>
      </c>
      <c r="E6">
        <v>25</v>
      </c>
      <c r="F6">
        <v>2018</v>
      </c>
      <c r="G6">
        <f>'Primary Data'!A12</f>
        <v>1024952</v>
      </c>
      <c r="H6" t="str">
        <f>"CHEM-3A-"&amp;'Primary Data'!C12&amp;"-2025FA"</f>
        <v>CHEM-3A-43957-2025FA</v>
      </c>
      <c r="I6" s="1" t="str">
        <f>_xlfn.XLOOKUP(G6,'Course Grades'!$B$3:$B$56,'Course Grades'!$E$3:$E$56)</f>
        <v>B</v>
      </c>
      <c r="J6" s="1">
        <f>'Primary Data'!E12</f>
        <v>16</v>
      </c>
      <c r="K6" s="8">
        <f>'Primary Data'!H12</f>
        <v>28.571428571428569</v>
      </c>
      <c r="L6" s="8">
        <f>'Primary Data'!J12</f>
        <v>33.333333333333329</v>
      </c>
      <c r="M6" s="21" t="s">
        <v>213</v>
      </c>
    </row>
    <row r="7" spans="1:13" x14ac:dyDescent="0.2">
      <c r="A7" t="s">
        <v>189</v>
      </c>
      <c r="B7" t="s">
        <v>190</v>
      </c>
      <c r="C7" t="s">
        <v>191</v>
      </c>
      <c r="D7" t="s">
        <v>192</v>
      </c>
      <c r="E7">
        <v>25</v>
      </c>
      <c r="F7">
        <v>2018</v>
      </c>
      <c r="G7">
        <f>'Primary Data'!A13</f>
        <v>888543</v>
      </c>
      <c r="H7" t="str">
        <f>"CHEM-3A-"&amp;'Primary Data'!C13&amp;"-2025FA"</f>
        <v>CHEM-3A-43957-2025FA</v>
      </c>
      <c r="I7" s="1" t="str">
        <f>_xlfn.XLOOKUP(G7,'Course Grades'!$B$3:$B$56,'Course Grades'!$E$3:$E$56)</f>
        <v>C</v>
      </c>
      <c r="J7" s="1">
        <f>'Primary Data'!E13</f>
        <v>18</v>
      </c>
      <c r="K7" s="8">
        <f>'Primary Data'!H13</f>
        <v>28.571428571428569</v>
      </c>
      <c r="L7" s="8">
        <f>'Primary Data'!J13</f>
        <v>36.666666666666664</v>
      </c>
      <c r="M7" s="1">
        <f>_xlfn.XLOOKUP(G7,'Lab Practical Score'!$B$2:$B$50,'Lab Practical Score'!$C$2:$C$50)</f>
        <v>36</v>
      </c>
    </row>
    <row r="8" spans="1:13" x14ac:dyDescent="0.2">
      <c r="A8" t="s">
        <v>189</v>
      </c>
      <c r="B8" t="s">
        <v>190</v>
      </c>
      <c r="C8" t="s">
        <v>191</v>
      </c>
      <c r="D8" t="s">
        <v>192</v>
      </c>
      <c r="E8">
        <v>25</v>
      </c>
      <c r="F8">
        <v>2018</v>
      </c>
      <c r="G8">
        <f>'Primary Data'!A14</f>
        <v>1039936</v>
      </c>
      <c r="H8" t="str">
        <f>"CHEM-3A-"&amp;'Primary Data'!C14&amp;"-2025FA"</f>
        <v>CHEM-3A-43957-2025FA</v>
      </c>
      <c r="I8" s="1" t="str">
        <f>_xlfn.XLOOKUP(G8,'Course Grades'!$B$3:$B$56,'Course Grades'!$E$3:$E$56)</f>
        <v>C</v>
      </c>
      <c r="J8" s="1">
        <f>'Primary Data'!E14</f>
        <v>17</v>
      </c>
      <c r="K8" s="8">
        <f>'Primary Data'!H14</f>
        <v>21.428571428571427</v>
      </c>
      <c r="L8" s="8">
        <f>'Primary Data'!J14</f>
        <v>36.666666666666664</v>
      </c>
      <c r="M8" s="1">
        <f>_xlfn.XLOOKUP(G8,'Lab Practical Score'!$B$2:$B$50,'Lab Practical Score'!$C$2:$C$50)</f>
        <v>68</v>
      </c>
    </row>
    <row r="9" spans="1:13" x14ac:dyDescent="0.2">
      <c r="A9" t="s">
        <v>189</v>
      </c>
      <c r="B9" t="s">
        <v>190</v>
      </c>
      <c r="C9" t="s">
        <v>191</v>
      </c>
      <c r="D9" t="s">
        <v>192</v>
      </c>
      <c r="E9">
        <v>25</v>
      </c>
      <c r="F9">
        <v>2018</v>
      </c>
      <c r="G9">
        <f>'Primary Data'!A15</f>
        <v>790131</v>
      </c>
      <c r="H9" t="str">
        <f>"CHEM-3A-"&amp;'Primary Data'!C15&amp;"-2025FA"</f>
        <v>CHEM-3A-43957-2025FA</v>
      </c>
      <c r="I9" s="1" t="str">
        <f>_xlfn.XLOOKUP(G9,'Course Grades'!$B$3:$B$56,'Course Grades'!$E$3:$E$56)</f>
        <v>B</v>
      </c>
      <c r="J9" s="1">
        <f>'Primary Data'!E15</f>
        <v>26</v>
      </c>
      <c r="K9" s="8">
        <f>'Primary Data'!H15</f>
        <v>50</v>
      </c>
      <c r="L9" s="8">
        <f>'Primary Data'!J15</f>
        <v>50</v>
      </c>
      <c r="M9" s="1">
        <f>_xlfn.XLOOKUP(G9,'Lab Practical Score'!$B$2:$B$50,'Lab Practical Score'!$C$2:$C$50)</f>
        <v>57</v>
      </c>
    </row>
    <row r="10" spans="1:13" x14ac:dyDescent="0.2">
      <c r="A10" t="s">
        <v>189</v>
      </c>
      <c r="B10" t="s">
        <v>190</v>
      </c>
      <c r="C10" t="s">
        <v>191</v>
      </c>
      <c r="D10" t="s">
        <v>192</v>
      </c>
      <c r="E10">
        <v>25</v>
      </c>
      <c r="F10">
        <v>2018</v>
      </c>
      <c r="G10">
        <f>'Primary Data'!A16</f>
        <v>490011</v>
      </c>
      <c r="H10" t="str">
        <f>"CHEM-3A-"&amp;'Primary Data'!C16&amp;"-2025FA"</f>
        <v>CHEM-3A-43957-2025FA</v>
      </c>
      <c r="I10" s="1" t="str">
        <f>_xlfn.XLOOKUP(G10,'Course Grades'!$B$3:$B$56,'Course Grades'!$E$3:$E$56)</f>
        <v>D</v>
      </c>
      <c r="J10" s="1">
        <f>'Primary Data'!E16</f>
        <v>16</v>
      </c>
      <c r="K10" s="8">
        <f>'Primary Data'!H16</f>
        <v>42.857142857142854</v>
      </c>
      <c r="L10" s="8">
        <f>'Primary Data'!J16</f>
        <v>26.666666666666668</v>
      </c>
      <c r="M10" s="1">
        <f>_xlfn.XLOOKUP(G10,'Lab Practical Score'!$B$2:$B$50,'Lab Practical Score'!$C$2:$C$50)</f>
        <v>56</v>
      </c>
    </row>
    <row r="11" spans="1:13" x14ac:dyDescent="0.2">
      <c r="A11" t="s">
        <v>189</v>
      </c>
      <c r="B11" t="s">
        <v>190</v>
      </c>
      <c r="C11" t="s">
        <v>191</v>
      </c>
      <c r="D11" t="s">
        <v>192</v>
      </c>
      <c r="E11">
        <v>25</v>
      </c>
      <c r="F11">
        <v>2018</v>
      </c>
      <c r="G11">
        <f>'Primary Data'!A17</f>
        <v>871988</v>
      </c>
      <c r="H11" t="str">
        <f>"CHEM-3A-"&amp;'Primary Data'!C17&amp;"-2025FA"</f>
        <v>CHEM-3A-43957-2025FA</v>
      </c>
      <c r="I11" s="1" t="str">
        <f>_xlfn.XLOOKUP(G11,'Course Grades'!$B$3:$B$56,'Course Grades'!$E$3:$E$56)</f>
        <v>D</v>
      </c>
      <c r="J11" s="1">
        <f>'Primary Data'!E17</f>
        <v>16</v>
      </c>
      <c r="K11" s="8">
        <f>'Primary Data'!H17</f>
        <v>21.428571428571427</v>
      </c>
      <c r="L11" s="8">
        <f>'Primary Data'!J17</f>
        <v>40</v>
      </c>
      <c r="M11" s="1">
        <f>_xlfn.XLOOKUP(G11,'Lab Practical Score'!$B$2:$B$50,'Lab Practical Score'!$C$2:$C$50)</f>
        <v>30</v>
      </c>
    </row>
    <row r="12" spans="1:13" x14ac:dyDescent="0.2">
      <c r="A12" t="s">
        <v>189</v>
      </c>
      <c r="B12" t="s">
        <v>190</v>
      </c>
      <c r="C12" t="s">
        <v>191</v>
      </c>
      <c r="D12" t="s">
        <v>192</v>
      </c>
      <c r="E12">
        <v>25</v>
      </c>
      <c r="F12">
        <v>2018</v>
      </c>
      <c r="G12">
        <f>'Primary Data'!A18</f>
        <v>1028207</v>
      </c>
      <c r="H12" t="str">
        <f>"CHEM-3A-"&amp;'Primary Data'!C18&amp;"-2025FA"</f>
        <v>CHEM-3A-43957-2025FA</v>
      </c>
      <c r="I12" s="1" t="str">
        <f>_xlfn.XLOOKUP(G12,'Course Grades'!$B$3:$B$56,'Course Grades'!$E$3:$E$56)</f>
        <v>C</v>
      </c>
      <c r="J12" s="1">
        <f>'Primary Data'!E18</f>
        <v>15</v>
      </c>
      <c r="K12" s="8">
        <f>'Primary Data'!H18</f>
        <v>35.714285714285715</v>
      </c>
      <c r="L12" s="8">
        <f>'Primary Data'!J18</f>
        <v>23.333333333333332</v>
      </c>
      <c r="M12" s="1">
        <f>_xlfn.XLOOKUP(G12,'Lab Practical Score'!$B$2:$B$50,'Lab Practical Score'!$C$2:$C$50)</f>
        <v>41</v>
      </c>
    </row>
    <row r="13" spans="1:13" x14ac:dyDescent="0.2">
      <c r="A13" t="s">
        <v>189</v>
      </c>
      <c r="B13" t="s">
        <v>190</v>
      </c>
      <c r="C13" t="s">
        <v>191</v>
      </c>
      <c r="D13" t="s">
        <v>192</v>
      </c>
      <c r="E13">
        <v>25</v>
      </c>
      <c r="F13">
        <v>2018</v>
      </c>
      <c r="G13">
        <f>'Primary Data'!A19</f>
        <v>345856</v>
      </c>
      <c r="H13" t="str">
        <f>"CHEM-3A-"&amp;'Primary Data'!C19&amp;"-2025FA"</f>
        <v>CHEM-3A-43957-2025FA</v>
      </c>
      <c r="I13" s="1" t="str">
        <f>_xlfn.XLOOKUP(G13,'Course Grades'!$B$3:$B$56,'Course Grades'!$E$3:$E$56)</f>
        <v>C</v>
      </c>
      <c r="J13" s="1">
        <f>'Primary Data'!E19</f>
        <v>25</v>
      </c>
      <c r="K13" s="8">
        <f>'Primary Data'!H19</f>
        <v>42.857142857142854</v>
      </c>
      <c r="L13" s="8">
        <f>'Primary Data'!J19</f>
        <v>56.666666666666664</v>
      </c>
      <c r="M13" s="1">
        <f>_xlfn.XLOOKUP(G13,'Lab Practical Score'!$B$2:$B$50,'Lab Practical Score'!$C$2:$C$50)</f>
        <v>32</v>
      </c>
    </row>
    <row r="14" spans="1:13" x14ac:dyDescent="0.2">
      <c r="A14" t="s">
        <v>189</v>
      </c>
      <c r="B14" t="s">
        <v>190</v>
      </c>
      <c r="C14" t="s">
        <v>191</v>
      </c>
      <c r="D14" t="s">
        <v>192</v>
      </c>
      <c r="E14">
        <v>25</v>
      </c>
      <c r="F14">
        <v>2018</v>
      </c>
      <c r="G14">
        <f>'Primary Data'!A20</f>
        <v>986455</v>
      </c>
      <c r="H14" t="str">
        <f>"CHEM-3A-"&amp;'Primary Data'!C20&amp;"-2025FA"</f>
        <v>CHEM-3A-43957-2025FA</v>
      </c>
      <c r="I14" s="1" t="str">
        <f>_xlfn.XLOOKUP(G14,'Course Grades'!$B$3:$B$56,'Course Grades'!$E$3:$E$56)</f>
        <v>D</v>
      </c>
      <c r="J14" s="1">
        <f>'Primary Data'!E20</f>
        <v>16</v>
      </c>
      <c r="K14" s="8">
        <f>'Primary Data'!H20</f>
        <v>35.714285714285715</v>
      </c>
      <c r="L14" s="8">
        <f>'Primary Data'!J20</f>
        <v>33.333333333333329</v>
      </c>
      <c r="M14" s="1">
        <f>_xlfn.XLOOKUP(G14,'Lab Practical Score'!$B$2:$B$50,'Lab Practical Score'!$C$2:$C$50)</f>
        <v>57</v>
      </c>
    </row>
    <row r="15" spans="1:13" x14ac:dyDescent="0.2">
      <c r="A15" t="s">
        <v>189</v>
      </c>
      <c r="B15" t="s">
        <v>190</v>
      </c>
      <c r="C15" t="s">
        <v>191</v>
      </c>
      <c r="D15" t="s">
        <v>192</v>
      </c>
      <c r="E15">
        <v>25</v>
      </c>
      <c r="F15">
        <v>2018</v>
      </c>
      <c r="G15">
        <f>'Primary Data'!A21</f>
        <v>1047765</v>
      </c>
      <c r="H15" t="str">
        <f>"CHEM-3A-"&amp;'Primary Data'!C21&amp;"-2025FA"</f>
        <v>CHEM-3A-43957-2025FA</v>
      </c>
      <c r="I15" s="1" t="str">
        <f>_xlfn.XLOOKUP(G15,'Course Grades'!$B$3:$B$56,'Course Grades'!$E$3:$E$56)</f>
        <v>D</v>
      </c>
      <c r="J15" s="1">
        <f>'Primary Data'!E21</f>
        <v>15</v>
      </c>
      <c r="K15" s="8">
        <f>'Primary Data'!H21</f>
        <v>21.428571428571427</v>
      </c>
      <c r="L15" s="8">
        <f>'Primary Data'!J21</f>
        <v>33.333333333333329</v>
      </c>
      <c r="M15" s="1">
        <f>_xlfn.XLOOKUP(G15,'Lab Practical Score'!$B$2:$B$50,'Lab Practical Score'!$C$2:$C$50)</f>
        <v>60</v>
      </c>
    </row>
    <row r="16" spans="1:13" x14ac:dyDescent="0.2">
      <c r="A16" t="s">
        <v>189</v>
      </c>
      <c r="B16" t="s">
        <v>190</v>
      </c>
      <c r="C16" t="s">
        <v>191</v>
      </c>
      <c r="D16" t="s">
        <v>192</v>
      </c>
      <c r="E16">
        <v>25</v>
      </c>
      <c r="F16">
        <v>2018</v>
      </c>
      <c r="G16">
        <f>'Primary Data'!A22</f>
        <v>1012960</v>
      </c>
      <c r="H16" t="str">
        <f>"CHEM-3A-"&amp;'Primary Data'!C22&amp;"-2025FA"</f>
        <v>CHEM-3A-43957-2025FA</v>
      </c>
      <c r="I16" s="1" t="str">
        <f>_xlfn.XLOOKUP(G16,'Course Grades'!$B$3:$B$56,'Course Grades'!$E$3:$E$56)</f>
        <v>C</v>
      </c>
      <c r="J16" s="1">
        <f>'Primary Data'!E22</f>
        <v>17</v>
      </c>
      <c r="K16" s="8">
        <f>'Primary Data'!H22</f>
        <v>21.428571428571427</v>
      </c>
      <c r="L16" s="8">
        <f>'Primary Data'!J22</f>
        <v>36.666666666666664</v>
      </c>
      <c r="M16" s="1">
        <f>_xlfn.XLOOKUP(G16,'Lab Practical Score'!$B$2:$B$50,'Lab Practical Score'!$C$2:$C$50)</f>
        <v>59</v>
      </c>
    </row>
    <row r="17" spans="1:13" x14ac:dyDescent="0.2">
      <c r="A17" t="s">
        <v>189</v>
      </c>
      <c r="B17" t="s">
        <v>190</v>
      </c>
      <c r="C17" t="s">
        <v>191</v>
      </c>
      <c r="D17" t="s">
        <v>192</v>
      </c>
      <c r="E17">
        <v>25</v>
      </c>
      <c r="F17">
        <v>2018</v>
      </c>
      <c r="G17">
        <f>'Primary Data'!A23</f>
        <v>1039827</v>
      </c>
      <c r="H17" t="str">
        <f>"CHEM-3A-"&amp;'Primary Data'!C23&amp;"-2025FA"</f>
        <v>CHEM-3A-43957-2025FA</v>
      </c>
      <c r="I17" s="1" t="str">
        <f>_xlfn.XLOOKUP(G17,'Course Grades'!$B$3:$B$56,'Course Grades'!$E$3:$E$56)</f>
        <v>A</v>
      </c>
      <c r="J17" s="1">
        <f>'Primary Data'!E23</f>
        <v>20</v>
      </c>
      <c r="K17" s="8">
        <f>'Primary Data'!H23</f>
        <v>35.714285714285715</v>
      </c>
      <c r="L17" s="8">
        <f>'Primary Data'!J23</f>
        <v>36.666666666666664</v>
      </c>
      <c r="M17" s="1">
        <f>_xlfn.XLOOKUP(G17,'Lab Practical Score'!$B$2:$B$50,'Lab Practical Score'!$C$2:$C$50)</f>
        <v>78</v>
      </c>
    </row>
    <row r="18" spans="1:13" x14ac:dyDescent="0.2">
      <c r="A18" t="s">
        <v>189</v>
      </c>
      <c r="B18" t="s">
        <v>190</v>
      </c>
      <c r="C18" t="s">
        <v>191</v>
      </c>
      <c r="D18" t="s">
        <v>192</v>
      </c>
      <c r="E18">
        <v>25</v>
      </c>
      <c r="F18">
        <v>2018</v>
      </c>
      <c r="G18">
        <f>'Primary Data'!A24</f>
        <v>1035199</v>
      </c>
      <c r="H18" t="str">
        <f>"CHEM-3A-"&amp;'Primary Data'!C24&amp;"-2025FA"</f>
        <v>CHEM-3A-43957-2025FA</v>
      </c>
      <c r="I18" s="1" t="str">
        <f>_xlfn.XLOOKUP(G18,'Course Grades'!$B$3:$B$56,'Course Grades'!$E$3:$E$56)</f>
        <v>C</v>
      </c>
      <c r="J18" s="1">
        <f>'Primary Data'!E24</f>
        <v>18</v>
      </c>
      <c r="K18" s="8">
        <f>'Primary Data'!H24</f>
        <v>28.571428571428569</v>
      </c>
      <c r="L18" s="8">
        <f>'Primary Data'!J24</f>
        <v>40</v>
      </c>
      <c r="M18" s="1">
        <f>_xlfn.XLOOKUP(G18,'Lab Practical Score'!$B$2:$B$50,'Lab Practical Score'!$C$2:$C$50)</f>
        <v>71</v>
      </c>
    </row>
    <row r="19" spans="1:13" x14ac:dyDescent="0.2">
      <c r="A19" t="s">
        <v>189</v>
      </c>
      <c r="B19" t="s">
        <v>190</v>
      </c>
      <c r="C19" t="s">
        <v>191</v>
      </c>
      <c r="D19" t="s">
        <v>192</v>
      </c>
      <c r="E19">
        <v>25</v>
      </c>
      <c r="F19">
        <v>2018</v>
      </c>
      <c r="G19">
        <f>'Primary Data'!A25</f>
        <v>895473</v>
      </c>
      <c r="H19" t="str">
        <f>"CHEM-3A-"&amp;'Primary Data'!C25&amp;"-2025FA"</f>
        <v>CHEM-3A-43957-2025FA</v>
      </c>
      <c r="I19" s="1" t="str">
        <f>_xlfn.XLOOKUP(G19,'Course Grades'!$B$3:$B$56,'Course Grades'!$E$3:$E$56)</f>
        <v>B</v>
      </c>
      <c r="J19" s="1">
        <f>'Primary Data'!E25</f>
        <v>17</v>
      </c>
      <c r="K19" s="8">
        <f>'Primary Data'!H25</f>
        <v>21.428571428571427</v>
      </c>
      <c r="L19" s="8">
        <f>'Primary Data'!J25</f>
        <v>43.333333333333336</v>
      </c>
      <c r="M19" s="1">
        <f>_xlfn.XLOOKUP(G19,'Lab Practical Score'!$B$2:$B$50,'Lab Practical Score'!$C$2:$C$50)</f>
        <v>72</v>
      </c>
    </row>
    <row r="20" spans="1:13" x14ac:dyDescent="0.2">
      <c r="A20" t="s">
        <v>189</v>
      </c>
      <c r="B20" t="s">
        <v>190</v>
      </c>
      <c r="C20" t="s">
        <v>191</v>
      </c>
      <c r="D20" t="s">
        <v>192</v>
      </c>
      <c r="E20">
        <v>25</v>
      </c>
      <c r="F20">
        <v>2018</v>
      </c>
      <c r="G20">
        <f>'Primary Data'!A26</f>
        <v>523330</v>
      </c>
      <c r="H20" t="str">
        <f>"CHEM-3A-"&amp;'Primary Data'!C26&amp;"-2025FA"</f>
        <v>CHEM-3A-43957-2025FA</v>
      </c>
      <c r="I20" s="1" t="str">
        <f>_xlfn.XLOOKUP(G20,'Course Grades'!$B$3:$B$56,'Course Grades'!$E$3:$E$56)</f>
        <v>B</v>
      </c>
      <c r="J20" s="1">
        <f>'Primary Data'!E26</f>
        <v>21</v>
      </c>
      <c r="K20" s="8">
        <f>'Primary Data'!H26</f>
        <v>57.142857142857139</v>
      </c>
      <c r="L20" s="8">
        <f>'Primary Data'!J26</f>
        <v>36.666666666666664</v>
      </c>
      <c r="M20" s="1">
        <f>_xlfn.XLOOKUP(G20,'Lab Practical Score'!$B$2:$B$50,'Lab Practical Score'!$C$2:$C$50)</f>
        <v>54</v>
      </c>
    </row>
    <row r="21" spans="1:13" x14ac:dyDescent="0.2">
      <c r="A21" t="s">
        <v>189</v>
      </c>
      <c r="B21" t="s">
        <v>190</v>
      </c>
      <c r="C21" t="s">
        <v>191</v>
      </c>
      <c r="D21" t="s">
        <v>192</v>
      </c>
      <c r="E21">
        <v>25</v>
      </c>
      <c r="F21">
        <v>2018</v>
      </c>
      <c r="G21">
        <f>'Primary Data'!A27</f>
        <v>964444</v>
      </c>
      <c r="H21" t="str">
        <f>"CHEM-3A-"&amp;'Primary Data'!C27&amp;"-2025FA"</f>
        <v>CHEM-3A-43957-2025FA</v>
      </c>
      <c r="I21" s="1" t="str">
        <f>_xlfn.XLOOKUP(G21,'Course Grades'!$B$3:$B$56,'Course Grades'!$E$3:$E$56)</f>
        <v>A</v>
      </c>
      <c r="J21" s="1">
        <f>'Primary Data'!E27</f>
        <v>39</v>
      </c>
      <c r="K21" s="8">
        <f>'Primary Data'!H27</f>
        <v>85.714285714285708</v>
      </c>
      <c r="L21" s="8">
        <f>'Primary Data'!J27</f>
        <v>73.333333333333329</v>
      </c>
      <c r="M21" s="1">
        <f>_xlfn.XLOOKUP(G21,'Lab Practical Score'!$B$2:$B$50,'Lab Practical Score'!$C$2:$C$50)</f>
        <v>60</v>
      </c>
    </row>
    <row r="22" spans="1:13" x14ac:dyDescent="0.2">
      <c r="A22" t="s">
        <v>189</v>
      </c>
      <c r="B22" t="s">
        <v>190</v>
      </c>
      <c r="C22" t="s">
        <v>191</v>
      </c>
      <c r="D22" t="s">
        <v>192</v>
      </c>
      <c r="E22">
        <v>25</v>
      </c>
      <c r="F22">
        <v>2018</v>
      </c>
      <c r="G22">
        <f>'Primary Data'!A28</f>
        <v>1022282</v>
      </c>
      <c r="H22" t="str">
        <f>"CHEM-3A-"&amp;'Primary Data'!C28&amp;"-2025FA"</f>
        <v>CHEM-3A-43957-2025FA</v>
      </c>
      <c r="I22" s="1" t="str">
        <f>_xlfn.XLOOKUP(G22,'Course Grades'!$B$3:$B$56,'Course Grades'!$E$3:$E$56)</f>
        <v>D</v>
      </c>
      <c r="J22" s="1">
        <f>'Primary Data'!E28</f>
        <v>19</v>
      </c>
      <c r="K22" s="8">
        <f>'Primary Data'!H28</f>
        <v>35.714285714285715</v>
      </c>
      <c r="L22" s="8">
        <f>'Primary Data'!J28</f>
        <v>40</v>
      </c>
      <c r="M22" s="1">
        <f>_xlfn.XLOOKUP(G22,'Lab Practical Score'!$B$2:$B$50,'Lab Practical Score'!$C$2:$C$50)</f>
        <v>47</v>
      </c>
    </row>
    <row r="23" spans="1:13" x14ac:dyDescent="0.2">
      <c r="A23" t="s">
        <v>189</v>
      </c>
      <c r="B23" t="s">
        <v>190</v>
      </c>
      <c r="C23" t="s">
        <v>191</v>
      </c>
      <c r="D23" t="s">
        <v>192</v>
      </c>
      <c r="E23">
        <v>25</v>
      </c>
      <c r="F23">
        <v>2018</v>
      </c>
      <c r="G23">
        <f>'Primary Data'!A29</f>
        <v>924739</v>
      </c>
      <c r="H23" t="str">
        <f>"CHEM-3A-"&amp;'Primary Data'!C29&amp;"-2025FA"</f>
        <v>CHEM-3A-43957-2025FA</v>
      </c>
      <c r="I23" s="1" t="str">
        <f>_xlfn.XLOOKUP(G23,'Course Grades'!$B$3:$B$56,'Course Grades'!$E$3:$E$56)</f>
        <v>B</v>
      </c>
      <c r="J23" s="1">
        <f>'Primary Data'!E29</f>
        <v>14</v>
      </c>
      <c r="K23" s="8">
        <f>'Primary Data'!H29</f>
        <v>35.714285714285715</v>
      </c>
      <c r="L23" s="8">
        <f>'Primary Data'!J29</f>
        <v>23.333333333333332</v>
      </c>
      <c r="M23" s="1">
        <f>_xlfn.XLOOKUP(G23,'Lab Practical Score'!$B$2:$B$50,'Lab Practical Score'!$C$2:$C$50)</f>
        <v>50</v>
      </c>
    </row>
    <row r="24" spans="1:13" x14ac:dyDescent="0.2">
      <c r="A24" t="s">
        <v>189</v>
      </c>
      <c r="B24" t="s">
        <v>190</v>
      </c>
      <c r="C24" t="s">
        <v>191</v>
      </c>
      <c r="D24" t="s">
        <v>192</v>
      </c>
      <c r="E24">
        <v>25</v>
      </c>
      <c r="F24">
        <v>2018</v>
      </c>
      <c r="G24">
        <f>'Primary Data'!A30</f>
        <v>891883</v>
      </c>
      <c r="H24" t="str">
        <f>"CHEM-3A-"&amp;'Primary Data'!C30&amp;"-2025FA"</f>
        <v>CHEM-3A-43957-2025FA</v>
      </c>
      <c r="I24" s="1" t="str">
        <f>_xlfn.XLOOKUP(G24,'Course Grades'!$B$3:$B$56,'Course Grades'!$E$3:$E$56)</f>
        <v>C</v>
      </c>
      <c r="J24" s="1">
        <f>'Primary Data'!E30</f>
        <v>11</v>
      </c>
      <c r="K24" s="8">
        <f>'Primary Data'!H30</f>
        <v>7.1428571428571423</v>
      </c>
      <c r="L24" s="8">
        <f>'Primary Data'!J30</f>
        <v>26.666666666666668</v>
      </c>
      <c r="M24" s="1">
        <f>_xlfn.XLOOKUP(G24,'Lab Practical Score'!$B$2:$B$50,'Lab Practical Score'!$C$2:$C$50)</f>
        <v>42</v>
      </c>
    </row>
    <row r="25" spans="1:13" x14ac:dyDescent="0.2">
      <c r="A25" t="s">
        <v>189</v>
      </c>
      <c r="B25" t="s">
        <v>190</v>
      </c>
      <c r="C25" t="s">
        <v>191</v>
      </c>
      <c r="D25" t="s">
        <v>192</v>
      </c>
      <c r="E25">
        <v>25</v>
      </c>
      <c r="F25">
        <v>2018</v>
      </c>
      <c r="G25">
        <f>'Primary Data'!A31</f>
        <v>1068669</v>
      </c>
      <c r="H25" t="str">
        <f>"CHEM-3A-"&amp;'Primary Data'!C31&amp;"-2025FA"</f>
        <v>CHEM-3A-43957-2025FA</v>
      </c>
      <c r="I25" s="1" t="str">
        <f>_xlfn.XLOOKUP(G25,'Course Grades'!$B$3:$B$56,'Course Grades'!$E$3:$E$56)</f>
        <v>A</v>
      </c>
      <c r="J25" s="1">
        <f>'Primary Data'!E31</f>
        <v>36</v>
      </c>
      <c r="K25" s="8">
        <f>'Primary Data'!H31</f>
        <v>64.285714285714292</v>
      </c>
      <c r="L25" s="8">
        <f>'Primary Data'!J31</f>
        <v>83.333333333333343</v>
      </c>
      <c r="M25" s="1">
        <f>_xlfn.XLOOKUP(G25,'Lab Practical Score'!$B$2:$B$50,'Lab Practical Score'!$C$2:$C$50)</f>
        <v>89</v>
      </c>
    </row>
    <row r="26" spans="1:13" x14ac:dyDescent="0.2">
      <c r="A26" t="s">
        <v>189</v>
      </c>
      <c r="B26" t="s">
        <v>190</v>
      </c>
      <c r="C26" t="s">
        <v>191</v>
      </c>
      <c r="D26" t="s">
        <v>192</v>
      </c>
      <c r="E26">
        <v>25</v>
      </c>
      <c r="F26">
        <v>2018</v>
      </c>
      <c r="G26">
        <f>'Primary Data'!A32</f>
        <v>896290</v>
      </c>
      <c r="H26" t="str">
        <f>"CHEM-3A-"&amp;'Primary Data'!C32&amp;"-2025FA"</f>
        <v>CHEM-3A-43957-2025FA</v>
      </c>
      <c r="I26" s="1" t="str">
        <f>_xlfn.XLOOKUP(G26,'Course Grades'!$B$3:$B$56,'Course Grades'!$E$3:$E$56)</f>
        <v>C</v>
      </c>
      <c r="J26" s="1">
        <f>'Primary Data'!E32</f>
        <v>16</v>
      </c>
      <c r="K26" s="8">
        <f>'Primary Data'!H32</f>
        <v>14.285714285714285</v>
      </c>
      <c r="L26" s="8">
        <f>'Primary Data'!J32</f>
        <v>40</v>
      </c>
      <c r="M26" s="1">
        <f>_xlfn.XLOOKUP(G26,'Lab Practical Score'!$B$2:$B$50,'Lab Practical Score'!$C$2:$C$50)</f>
        <v>47</v>
      </c>
    </row>
    <row r="27" spans="1:13" x14ac:dyDescent="0.2">
      <c r="A27" t="s">
        <v>189</v>
      </c>
      <c r="B27" t="s">
        <v>190</v>
      </c>
      <c r="C27" t="s">
        <v>191</v>
      </c>
      <c r="D27" t="s">
        <v>192</v>
      </c>
      <c r="E27">
        <v>25</v>
      </c>
      <c r="F27">
        <v>2018</v>
      </c>
      <c r="G27">
        <f>'Primary Data'!A33</f>
        <v>775232</v>
      </c>
      <c r="H27" t="str">
        <f>"CHEM-3A-"&amp;'Primary Data'!C33&amp;"-2025FA"</f>
        <v>CHEM-3A-43957-2025FA</v>
      </c>
      <c r="I27" s="1" t="str">
        <f>_xlfn.XLOOKUP(G27,'Course Grades'!$B$3:$B$56,'Course Grades'!$E$3:$E$56)</f>
        <v>D</v>
      </c>
      <c r="J27" s="1">
        <f>'Primary Data'!E33</f>
        <v>10</v>
      </c>
      <c r="K27" s="8">
        <f>'Primary Data'!H33</f>
        <v>14.285714285714285</v>
      </c>
      <c r="L27" s="8">
        <f>'Primary Data'!J33</f>
        <v>20</v>
      </c>
      <c r="M27" s="1">
        <f>_xlfn.XLOOKUP(G27,'Lab Practical Score'!$B$2:$B$50,'Lab Practical Score'!$C$2:$C$50)</f>
        <v>18</v>
      </c>
    </row>
    <row r="28" spans="1:13" x14ac:dyDescent="0.2">
      <c r="A28" t="s">
        <v>189</v>
      </c>
      <c r="B28" t="s">
        <v>190</v>
      </c>
      <c r="C28" t="s">
        <v>191</v>
      </c>
      <c r="D28" t="s">
        <v>192</v>
      </c>
      <c r="E28">
        <v>25</v>
      </c>
      <c r="F28">
        <v>2018</v>
      </c>
      <c r="G28">
        <f>'Primary Data'!A34</f>
        <v>934216</v>
      </c>
      <c r="H28" t="str">
        <f>"CHEM-3A-"&amp;'Primary Data'!C34&amp;"-2025FA"</f>
        <v>CHEM-3A-43957-2025FA</v>
      </c>
      <c r="I28" s="1" t="str">
        <f>_xlfn.XLOOKUP(G28,'Course Grades'!$B$3:$B$56,'Course Grades'!$E$3:$E$56)</f>
        <v>B</v>
      </c>
      <c r="J28" s="1">
        <f>'Primary Data'!E34</f>
        <v>16</v>
      </c>
      <c r="K28" s="8">
        <f>'Primary Data'!H34</f>
        <v>35.714285714285715</v>
      </c>
      <c r="L28" s="8">
        <f>'Primary Data'!J34</f>
        <v>30</v>
      </c>
      <c r="M28" s="1">
        <f>_xlfn.XLOOKUP(G28,'Lab Practical Score'!$B$2:$B$50,'Lab Practical Score'!$C$2:$C$50)</f>
        <v>60</v>
      </c>
    </row>
    <row r="29" spans="1:13" x14ac:dyDescent="0.2">
      <c r="A29" t="s">
        <v>189</v>
      </c>
      <c r="B29" t="s">
        <v>190</v>
      </c>
      <c r="C29" t="s">
        <v>191</v>
      </c>
      <c r="D29" t="s">
        <v>192</v>
      </c>
      <c r="E29">
        <v>25</v>
      </c>
      <c r="F29">
        <v>2018</v>
      </c>
      <c r="G29">
        <f>'Primary Data'!A35</f>
        <v>1016534</v>
      </c>
      <c r="H29" t="str">
        <f>"CHEM-3A-"&amp;'Primary Data'!C35&amp;"-2025FA"</f>
        <v>CHEM-3A-43958-2025FA</v>
      </c>
      <c r="I29" s="1" t="str">
        <f>_xlfn.XLOOKUP(G29,'Course Grades'!$B$3:$B$56,'Course Grades'!$E$3:$E$56)</f>
        <v>C</v>
      </c>
      <c r="J29" s="1">
        <f>'Primary Data'!E35</f>
        <v>21</v>
      </c>
      <c r="K29" s="8">
        <f>'Primary Data'!H35</f>
        <v>35.714285714285715</v>
      </c>
      <c r="L29" s="8">
        <f>'Primary Data'!J35</f>
        <v>46.666666666666664</v>
      </c>
      <c r="M29" s="1">
        <f>_xlfn.XLOOKUP(G29,'Lab Practical Score'!$B$2:$B$50,'Lab Practical Score'!$C$2:$C$50)</f>
        <v>50</v>
      </c>
    </row>
    <row r="30" spans="1:13" x14ac:dyDescent="0.2">
      <c r="A30" t="s">
        <v>189</v>
      </c>
      <c r="B30" t="s">
        <v>190</v>
      </c>
      <c r="C30" t="s">
        <v>191</v>
      </c>
      <c r="D30" t="s">
        <v>192</v>
      </c>
      <c r="E30">
        <v>25</v>
      </c>
      <c r="F30">
        <v>2018</v>
      </c>
      <c r="G30">
        <f>'Primary Data'!A36</f>
        <v>1070102</v>
      </c>
      <c r="H30" t="str">
        <f>"CHEM-3A-"&amp;'Primary Data'!C36&amp;"-2025FA"</f>
        <v>CHEM-3A-43958-2025FA</v>
      </c>
      <c r="I30" s="1" t="str">
        <f>_xlfn.XLOOKUP(G30,'Course Grades'!$B$3:$B$56,'Course Grades'!$E$3:$E$56)</f>
        <v>C</v>
      </c>
      <c r="J30" s="1">
        <f>'Primary Data'!E36</f>
        <v>28</v>
      </c>
      <c r="K30" s="8">
        <f>'Primary Data'!H36</f>
        <v>50</v>
      </c>
      <c r="L30" s="8">
        <f>'Primary Data'!J36</f>
        <v>56.666666666666664</v>
      </c>
      <c r="M30" s="1">
        <f>_xlfn.XLOOKUP(G30,'Lab Practical Score'!$B$2:$B$50,'Lab Practical Score'!$C$2:$C$50)</f>
        <v>50</v>
      </c>
    </row>
    <row r="31" spans="1:13" x14ac:dyDescent="0.2">
      <c r="A31" t="s">
        <v>189</v>
      </c>
      <c r="B31" t="s">
        <v>190</v>
      </c>
      <c r="C31" t="s">
        <v>191</v>
      </c>
      <c r="D31" t="s">
        <v>192</v>
      </c>
      <c r="E31">
        <v>25</v>
      </c>
      <c r="F31">
        <v>2018</v>
      </c>
      <c r="G31">
        <f>'Primary Data'!A37</f>
        <v>1065569</v>
      </c>
      <c r="H31" t="str">
        <f>"CHEM-3A-"&amp;'Primary Data'!C37&amp;"-2025FA"</f>
        <v>CHEM-3A-43958-2025FA</v>
      </c>
      <c r="I31" s="1" t="str">
        <f>_xlfn.XLOOKUP(G31,'Course Grades'!$B$3:$B$56,'Course Grades'!$E$3:$E$56)</f>
        <v>B</v>
      </c>
      <c r="J31" s="1">
        <f>'Primary Data'!E37</f>
        <v>24</v>
      </c>
      <c r="K31" s="8">
        <f>'Primary Data'!H37</f>
        <v>35.714285714285715</v>
      </c>
      <c r="L31" s="8">
        <f>'Primary Data'!J37</f>
        <v>50</v>
      </c>
      <c r="M31" s="1">
        <f>_xlfn.XLOOKUP(G31,'Lab Practical Score'!$B$2:$B$50,'Lab Practical Score'!$C$2:$C$50)</f>
        <v>53</v>
      </c>
    </row>
    <row r="32" spans="1:13" x14ac:dyDescent="0.2">
      <c r="A32" t="s">
        <v>189</v>
      </c>
      <c r="B32" t="s">
        <v>190</v>
      </c>
      <c r="C32" t="s">
        <v>191</v>
      </c>
      <c r="D32" t="s">
        <v>192</v>
      </c>
      <c r="E32">
        <v>25</v>
      </c>
      <c r="F32">
        <v>2018</v>
      </c>
      <c r="G32">
        <f>'Primary Data'!A38</f>
        <v>759215</v>
      </c>
      <c r="H32" t="str">
        <f>"CHEM-3A-"&amp;'Primary Data'!C38&amp;"-2025FA"</f>
        <v>CHEM-3A-43958-2025FA</v>
      </c>
      <c r="I32" s="1" t="str">
        <f>_xlfn.XLOOKUP(G32,'Course Grades'!$B$3:$B$56,'Course Grades'!$E$3:$E$56)</f>
        <v>A</v>
      </c>
      <c r="J32" s="1">
        <f>'Primary Data'!E38</f>
        <v>35</v>
      </c>
      <c r="K32" s="8">
        <f>'Primary Data'!H38</f>
        <v>71.428571428571431</v>
      </c>
      <c r="L32" s="8">
        <f>'Primary Data'!J38</f>
        <v>76.666666666666671</v>
      </c>
      <c r="M32" s="1">
        <f>_xlfn.XLOOKUP(G32,'Lab Practical Score'!$B$2:$B$50,'Lab Practical Score'!$C$2:$C$50)</f>
        <v>55</v>
      </c>
    </row>
    <row r="33" spans="1:13" x14ac:dyDescent="0.2">
      <c r="A33" t="s">
        <v>189</v>
      </c>
      <c r="B33" t="s">
        <v>190</v>
      </c>
      <c r="C33" t="s">
        <v>191</v>
      </c>
      <c r="D33" t="s">
        <v>192</v>
      </c>
      <c r="E33">
        <v>25</v>
      </c>
      <c r="F33">
        <v>2018</v>
      </c>
      <c r="G33">
        <f>'Primary Data'!A39</f>
        <v>778750</v>
      </c>
      <c r="H33" t="str">
        <f>"CHEM-3A-"&amp;'Primary Data'!C39&amp;"-2025FA"</f>
        <v>CHEM-3A-43958-2025FA</v>
      </c>
      <c r="I33" s="1" t="str">
        <f>_xlfn.XLOOKUP(G33,'Course Grades'!$B$3:$B$56,'Course Grades'!$E$3:$E$56)</f>
        <v>A</v>
      </c>
      <c r="J33" s="1">
        <f>'Primary Data'!E39</f>
        <v>26</v>
      </c>
      <c r="K33" s="8">
        <f>'Primary Data'!H39</f>
        <v>71.428571428571431</v>
      </c>
      <c r="L33" s="8">
        <f>'Primary Data'!J39</f>
        <v>40</v>
      </c>
      <c r="M33" s="1">
        <f>_xlfn.XLOOKUP(G33,'Lab Practical Score'!$B$2:$B$50,'Lab Practical Score'!$C$2:$C$50)</f>
        <v>56</v>
      </c>
    </row>
    <row r="34" spans="1:13" x14ac:dyDescent="0.2">
      <c r="A34" t="s">
        <v>189</v>
      </c>
      <c r="B34" t="s">
        <v>190</v>
      </c>
      <c r="C34" t="s">
        <v>191</v>
      </c>
      <c r="D34" t="s">
        <v>192</v>
      </c>
      <c r="E34">
        <v>25</v>
      </c>
      <c r="F34">
        <v>2018</v>
      </c>
      <c r="G34">
        <f>'Primary Data'!A40</f>
        <v>910945</v>
      </c>
      <c r="H34" t="str">
        <f>"CHEM-3A-"&amp;'Primary Data'!C40&amp;"-2025FA"</f>
        <v>CHEM-3A-43958-2025FA</v>
      </c>
      <c r="I34" s="1" t="str">
        <f>_xlfn.XLOOKUP(G34,'Course Grades'!$B$3:$B$56,'Course Grades'!$E$3:$E$56)</f>
        <v>D</v>
      </c>
      <c r="J34" s="1">
        <f>'Primary Data'!E40</f>
        <v>15</v>
      </c>
      <c r="K34" s="8">
        <f>'Primary Data'!H40</f>
        <v>42.857142857142854</v>
      </c>
      <c r="L34" s="8">
        <f>'Primary Data'!J40</f>
        <v>26.666666666666668</v>
      </c>
      <c r="M34" s="1">
        <f>_xlfn.XLOOKUP(G34,'Lab Practical Score'!$B$2:$B$50,'Lab Practical Score'!$C$2:$C$50)</f>
        <v>51</v>
      </c>
    </row>
    <row r="35" spans="1:13" x14ac:dyDescent="0.2">
      <c r="A35" t="s">
        <v>189</v>
      </c>
      <c r="B35" t="s">
        <v>190</v>
      </c>
      <c r="C35" t="s">
        <v>191</v>
      </c>
      <c r="D35" t="s">
        <v>192</v>
      </c>
      <c r="E35">
        <v>25</v>
      </c>
      <c r="F35">
        <v>2018</v>
      </c>
      <c r="G35">
        <f>'Primary Data'!A41</f>
        <v>928878</v>
      </c>
      <c r="H35" t="str">
        <f>"CHEM-3A-"&amp;'Primary Data'!C41&amp;"-2025FA"</f>
        <v>CHEM-3A-43958-2025FA</v>
      </c>
      <c r="I35" s="1" t="str">
        <f>_xlfn.XLOOKUP(G35,'Course Grades'!$B$3:$B$56,'Course Grades'!$E$3:$E$56)</f>
        <v>B</v>
      </c>
      <c r="J35" s="1">
        <f>'Primary Data'!E41</f>
        <v>24</v>
      </c>
      <c r="K35" s="8">
        <f>'Primary Data'!H41</f>
        <v>57.142857142857139</v>
      </c>
      <c r="L35" s="8">
        <f>'Primary Data'!J41</f>
        <v>46.666666666666664</v>
      </c>
      <c r="M35" s="1">
        <f>_xlfn.XLOOKUP(G35,'Lab Practical Score'!$B$2:$B$50,'Lab Practical Score'!$C$2:$C$50)</f>
        <v>55</v>
      </c>
    </row>
    <row r="36" spans="1:13" x14ac:dyDescent="0.2">
      <c r="A36" t="s">
        <v>189</v>
      </c>
      <c r="B36" t="s">
        <v>190</v>
      </c>
      <c r="C36" t="s">
        <v>191</v>
      </c>
      <c r="D36" t="s">
        <v>192</v>
      </c>
      <c r="E36">
        <v>25</v>
      </c>
      <c r="F36">
        <v>2018</v>
      </c>
      <c r="G36">
        <f>'Primary Data'!A42</f>
        <v>982244</v>
      </c>
      <c r="H36" t="str">
        <f>"CHEM-3A-"&amp;'Primary Data'!C42&amp;"-2025FA"</f>
        <v>CHEM-3A-43958-2025FA</v>
      </c>
      <c r="I36" s="1" t="str">
        <f>_xlfn.XLOOKUP(G36,'Course Grades'!$B$3:$B$56,'Course Grades'!$E$3:$E$56)</f>
        <v>D</v>
      </c>
      <c r="J36" s="1">
        <f>'Primary Data'!E42</f>
        <v>14</v>
      </c>
      <c r="K36" s="8">
        <f>'Primary Data'!H42</f>
        <v>21.428571428571427</v>
      </c>
      <c r="L36" s="8">
        <f>'Primary Data'!J42</f>
        <v>26.666666666666668</v>
      </c>
      <c r="M36" s="1">
        <f>_xlfn.XLOOKUP(G36,'Lab Practical Score'!$B$2:$B$50,'Lab Practical Score'!$C$2:$C$50)</f>
        <v>43</v>
      </c>
    </row>
    <row r="37" spans="1:13" x14ac:dyDescent="0.2">
      <c r="A37" t="s">
        <v>189</v>
      </c>
      <c r="B37" t="s">
        <v>190</v>
      </c>
      <c r="C37" t="s">
        <v>191</v>
      </c>
      <c r="D37" t="s">
        <v>192</v>
      </c>
      <c r="E37">
        <v>25</v>
      </c>
      <c r="F37">
        <v>2018</v>
      </c>
      <c r="G37">
        <f>'Primary Data'!A43</f>
        <v>1038679</v>
      </c>
      <c r="H37" t="str">
        <f>"CHEM-3A-"&amp;'Primary Data'!C43&amp;"-2025FA"</f>
        <v>CHEM-3A-43958-2025FA</v>
      </c>
      <c r="I37" s="1" t="str">
        <f>_xlfn.XLOOKUP(G37,'Course Grades'!$B$3:$B$56,'Course Grades'!$E$3:$E$56)</f>
        <v>C</v>
      </c>
      <c r="J37" s="1">
        <f>'Primary Data'!E43</f>
        <v>15</v>
      </c>
      <c r="K37" s="8">
        <f>'Primary Data'!H43</f>
        <v>21.428571428571427</v>
      </c>
      <c r="L37" s="8">
        <f>'Primary Data'!J43</f>
        <v>33.333333333333329</v>
      </c>
      <c r="M37" s="1">
        <f>_xlfn.XLOOKUP(G37,'Lab Practical Score'!$B$2:$B$50,'Lab Practical Score'!$C$2:$C$50)</f>
        <v>61</v>
      </c>
    </row>
    <row r="38" spans="1:13" x14ac:dyDescent="0.2">
      <c r="A38" t="s">
        <v>189</v>
      </c>
      <c r="B38" t="s">
        <v>190</v>
      </c>
      <c r="C38" t="s">
        <v>191</v>
      </c>
      <c r="D38" t="s">
        <v>192</v>
      </c>
      <c r="E38">
        <v>25</v>
      </c>
      <c r="F38">
        <v>2018</v>
      </c>
      <c r="G38">
        <f>'Primary Data'!A44</f>
        <v>958268</v>
      </c>
      <c r="H38" t="str">
        <f>"CHEM-3A-"&amp;'Primary Data'!C44&amp;"-2025FA"</f>
        <v>CHEM-3A-43958-2025FA</v>
      </c>
      <c r="I38" s="1" t="str">
        <f>_xlfn.XLOOKUP(G38,'Course Grades'!$B$3:$B$56,'Course Grades'!$E$3:$E$56)</f>
        <v>B</v>
      </c>
      <c r="J38" s="1">
        <f>'Primary Data'!E44</f>
        <v>26</v>
      </c>
      <c r="K38" s="8">
        <f>'Primary Data'!H44</f>
        <v>42.857142857142854</v>
      </c>
      <c r="L38" s="8">
        <f>'Primary Data'!J44</f>
        <v>63.333333333333329</v>
      </c>
      <c r="M38" s="1">
        <f>_xlfn.XLOOKUP(G38,'Lab Practical Score'!$B$2:$B$50,'Lab Practical Score'!$C$2:$C$50)</f>
        <v>81</v>
      </c>
    </row>
    <row r="39" spans="1:13" x14ac:dyDescent="0.2">
      <c r="A39" t="s">
        <v>189</v>
      </c>
      <c r="B39" t="s">
        <v>190</v>
      </c>
      <c r="C39" t="s">
        <v>191</v>
      </c>
      <c r="D39" t="s">
        <v>192</v>
      </c>
      <c r="E39">
        <v>25</v>
      </c>
      <c r="F39">
        <v>2018</v>
      </c>
      <c r="G39">
        <f>'Primary Data'!A45</f>
        <v>1043694</v>
      </c>
      <c r="H39" t="str">
        <f>"CHEM-3A-"&amp;'Primary Data'!C45&amp;"-2025FA"</f>
        <v>CHEM-3A-43958-2025FA</v>
      </c>
      <c r="I39" s="1" t="str">
        <f>_xlfn.XLOOKUP(G39,'Course Grades'!$B$3:$B$56,'Course Grades'!$E$3:$E$56)</f>
        <v>A</v>
      </c>
      <c r="J39" s="1">
        <f>'Primary Data'!E45</f>
        <v>29</v>
      </c>
      <c r="K39" s="8">
        <f>'Primary Data'!H45</f>
        <v>57.142857142857139</v>
      </c>
      <c r="L39" s="8">
        <f>'Primary Data'!J45</f>
        <v>56.666666666666664</v>
      </c>
      <c r="M39" s="1">
        <f>_xlfn.XLOOKUP(G39,'Lab Practical Score'!$B$2:$B$50,'Lab Practical Score'!$C$2:$C$50)</f>
        <v>68</v>
      </c>
    </row>
    <row r="40" spans="1:13" x14ac:dyDescent="0.2">
      <c r="A40" t="s">
        <v>189</v>
      </c>
      <c r="B40" t="s">
        <v>190</v>
      </c>
      <c r="C40" t="s">
        <v>191</v>
      </c>
      <c r="D40" t="s">
        <v>192</v>
      </c>
      <c r="E40">
        <v>25</v>
      </c>
      <c r="F40">
        <v>2018</v>
      </c>
      <c r="G40">
        <f>'Primary Data'!A46</f>
        <v>977963</v>
      </c>
      <c r="H40" t="str">
        <f>"CHEM-3A-"&amp;'Primary Data'!C46&amp;"-2025FA"</f>
        <v>CHEM-3A-43958-2025FA</v>
      </c>
      <c r="I40" s="1" t="str">
        <f>_xlfn.XLOOKUP(G40,'Course Grades'!$B$3:$B$56,'Course Grades'!$E$3:$E$56)</f>
        <v>C</v>
      </c>
      <c r="J40" s="1">
        <f>'Primary Data'!E46</f>
        <v>23</v>
      </c>
      <c r="K40" s="8">
        <f>'Primary Data'!H46</f>
        <v>50</v>
      </c>
      <c r="L40" s="8">
        <f>'Primary Data'!J46</f>
        <v>50</v>
      </c>
      <c r="M40" s="1">
        <f>_xlfn.XLOOKUP(G40,'Lab Practical Score'!$B$2:$B$50,'Lab Practical Score'!$C$2:$C$50)</f>
        <v>62</v>
      </c>
    </row>
    <row r="41" spans="1:13" x14ac:dyDescent="0.2">
      <c r="A41" t="s">
        <v>189</v>
      </c>
      <c r="B41" t="s">
        <v>190</v>
      </c>
      <c r="C41" t="s">
        <v>191</v>
      </c>
      <c r="D41" t="s">
        <v>192</v>
      </c>
      <c r="E41">
        <v>25</v>
      </c>
      <c r="F41">
        <v>2018</v>
      </c>
      <c r="G41">
        <f>'Primary Data'!A47</f>
        <v>684403</v>
      </c>
      <c r="H41" t="str">
        <f>"CHEM-3A-"&amp;'Primary Data'!C47&amp;"-2025FA"</f>
        <v>CHEM-3A-43958-2025FA</v>
      </c>
      <c r="I41" s="1" t="str">
        <f>_xlfn.XLOOKUP(G41,'Course Grades'!$B$3:$B$56,'Course Grades'!$E$3:$E$56)</f>
        <v>B</v>
      </c>
      <c r="J41" s="1">
        <f>'Primary Data'!E47</f>
        <v>21</v>
      </c>
      <c r="K41" s="8">
        <f>'Primary Data'!H47</f>
        <v>50</v>
      </c>
      <c r="L41" s="8">
        <f>'Primary Data'!J47</f>
        <v>33.333333333333329</v>
      </c>
      <c r="M41" s="1">
        <f>_xlfn.XLOOKUP(G41,'Lab Practical Score'!$B$2:$B$50,'Lab Practical Score'!$C$2:$C$50)</f>
        <v>58</v>
      </c>
    </row>
    <row r="42" spans="1:13" x14ac:dyDescent="0.2">
      <c r="A42" t="s">
        <v>189</v>
      </c>
      <c r="B42" t="s">
        <v>190</v>
      </c>
      <c r="C42" t="s">
        <v>191</v>
      </c>
      <c r="D42" t="s">
        <v>192</v>
      </c>
      <c r="E42">
        <v>25</v>
      </c>
      <c r="F42">
        <v>2018</v>
      </c>
      <c r="G42">
        <f>'Primary Data'!A48</f>
        <v>1014825</v>
      </c>
      <c r="H42" t="str">
        <f>"CHEM-3A-"&amp;'Primary Data'!C48&amp;"-2025FA"</f>
        <v>CHEM-3A-43958-2025FA</v>
      </c>
      <c r="I42" s="1" t="str">
        <f>_xlfn.XLOOKUP(G42,'Course Grades'!$B$3:$B$56,'Course Grades'!$E$3:$E$56)</f>
        <v>A</v>
      </c>
      <c r="J42" s="1">
        <f>'Primary Data'!E48</f>
        <v>22</v>
      </c>
      <c r="K42" s="8">
        <f>'Primary Data'!H48</f>
        <v>35.714285714285715</v>
      </c>
      <c r="L42" s="8">
        <f>'Primary Data'!J48</f>
        <v>53.333333333333336</v>
      </c>
      <c r="M42" s="1">
        <f>_xlfn.XLOOKUP(G42,'Lab Practical Score'!$B$2:$B$50,'Lab Practical Score'!$C$2:$C$50)</f>
        <v>80</v>
      </c>
    </row>
    <row r="43" spans="1:13" x14ac:dyDescent="0.2">
      <c r="A43" t="s">
        <v>189</v>
      </c>
      <c r="B43" t="s">
        <v>190</v>
      </c>
      <c r="C43" t="s">
        <v>191</v>
      </c>
      <c r="D43" t="s">
        <v>192</v>
      </c>
      <c r="E43">
        <v>25</v>
      </c>
      <c r="F43">
        <v>2018</v>
      </c>
      <c r="G43">
        <f>'Primary Data'!A49</f>
        <v>977589</v>
      </c>
      <c r="H43" t="str">
        <f>"CHEM-3A-"&amp;'Primary Data'!C49&amp;"-2025FA"</f>
        <v>CHEM-3A-43958-2025FA</v>
      </c>
      <c r="I43" s="1" t="str">
        <f>_xlfn.XLOOKUP(G43,'Course Grades'!$B$3:$B$56,'Course Grades'!$E$3:$E$56)</f>
        <v>B</v>
      </c>
      <c r="J43" s="1">
        <f>'Primary Data'!E49</f>
        <v>21</v>
      </c>
      <c r="K43" s="8">
        <f>'Primary Data'!H49</f>
        <v>50</v>
      </c>
      <c r="L43" s="8">
        <f>'Primary Data'!J49</f>
        <v>40</v>
      </c>
      <c r="M43" s="1">
        <f>_xlfn.XLOOKUP(G43,'Lab Practical Score'!$B$2:$B$50,'Lab Practical Score'!$C$2:$C$50)</f>
        <v>62</v>
      </c>
    </row>
    <row r="44" spans="1:13" x14ac:dyDescent="0.2">
      <c r="A44" t="s">
        <v>189</v>
      </c>
      <c r="B44" t="s">
        <v>190</v>
      </c>
      <c r="C44" t="s">
        <v>191</v>
      </c>
      <c r="D44" t="s">
        <v>192</v>
      </c>
      <c r="E44">
        <v>25</v>
      </c>
      <c r="F44">
        <v>2018</v>
      </c>
      <c r="G44">
        <f>'Primary Data'!A50</f>
        <v>792916</v>
      </c>
      <c r="H44" t="str">
        <f>"CHEM-3A-"&amp;'Primary Data'!C50&amp;"-2025FA"</f>
        <v>CHEM-3A-43958-2025FA</v>
      </c>
      <c r="I44" s="1" t="str">
        <f>_xlfn.XLOOKUP(G44,'Course Grades'!$B$3:$B$56,'Course Grades'!$E$3:$E$56)</f>
        <v>B</v>
      </c>
      <c r="J44" s="1">
        <f>'Primary Data'!E50</f>
        <v>26</v>
      </c>
      <c r="K44" s="8">
        <f>'Primary Data'!H50</f>
        <v>64.285714285714292</v>
      </c>
      <c r="L44" s="8">
        <f>'Primary Data'!J50</f>
        <v>50</v>
      </c>
      <c r="M44" s="1">
        <f>_xlfn.XLOOKUP(G44,'Lab Practical Score'!$B$2:$B$50,'Lab Practical Score'!$C$2:$C$50)</f>
        <v>53</v>
      </c>
    </row>
    <row r="45" spans="1:13" x14ac:dyDescent="0.2">
      <c r="A45" t="s">
        <v>189</v>
      </c>
      <c r="B45" t="s">
        <v>190</v>
      </c>
      <c r="C45" t="s">
        <v>191</v>
      </c>
      <c r="D45" t="s">
        <v>192</v>
      </c>
      <c r="E45">
        <v>25</v>
      </c>
      <c r="F45">
        <v>2018</v>
      </c>
      <c r="G45">
        <f>'Primary Data'!A51</f>
        <v>934915</v>
      </c>
      <c r="H45" t="str">
        <f>"CHEM-3A-"&amp;'Primary Data'!C51&amp;"-2025FA"</f>
        <v>CHEM-3A-43958-2025FA</v>
      </c>
      <c r="I45" s="1" t="str">
        <f>_xlfn.XLOOKUP(G45,'Course Grades'!$B$3:$B$56,'Course Grades'!$E$3:$E$56)</f>
        <v>B</v>
      </c>
      <c r="J45" s="1">
        <f>'Primary Data'!E51</f>
        <v>21</v>
      </c>
      <c r="K45" s="8">
        <f>'Primary Data'!H51</f>
        <v>42.857142857142854</v>
      </c>
      <c r="L45" s="8">
        <f>'Primary Data'!J51</f>
        <v>36.666666666666664</v>
      </c>
      <c r="M45" s="1">
        <f>_xlfn.XLOOKUP(G45,'Lab Practical Score'!$B$2:$B$50,'Lab Practical Score'!$C$2:$C$50)</f>
        <v>66</v>
      </c>
    </row>
    <row r="46" spans="1:13" x14ac:dyDescent="0.2">
      <c r="A46" t="s">
        <v>189</v>
      </c>
      <c r="B46" t="s">
        <v>190</v>
      </c>
      <c r="C46" t="s">
        <v>191</v>
      </c>
      <c r="D46" t="s">
        <v>192</v>
      </c>
      <c r="E46">
        <v>25</v>
      </c>
      <c r="F46">
        <v>2018</v>
      </c>
      <c r="G46">
        <f>'Primary Data'!A52</f>
        <v>574404</v>
      </c>
      <c r="H46" t="str">
        <f>"CHEM-3A-"&amp;'Primary Data'!C52&amp;"-2025FA"</f>
        <v>CHEM-3A-43958-2025FA</v>
      </c>
      <c r="I46" s="1" t="str">
        <f>_xlfn.XLOOKUP(G46,'Course Grades'!$B$3:$B$56,'Course Grades'!$E$3:$E$56)</f>
        <v>C</v>
      </c>
      <c r="J46" s="1">
        <f>'Primary Data'!E52</f>
        <v>22</v>
      </c>
      <c r="K46" s="8">
        <f>'Primary Data'!H52</f>
        <v>57.142857142857139</v>
      </c>
      <c r="L46" s="8">
        <f>'Primary Data'!J52</f>
        <v>43.333333333333336</v>
      </c>
      <c r="M46" s="1">
        <f>_xlfn.XLOOKUP(G46,'Lab Practical Score'!$B$2:$B$50,'Lab Practical Score'!$C$2:$C$50)</f>
        <v>52</v>
      </c>
    </row>
    <row r="47" spans="1:13" x14ac:dyDescent="0.2">
      <c r="A47" t="s">
        <v>189</v>
      </c>
      <c r="B47" t="s">
        <v>190</v>
      </c>
      <c r="C47" t="s">
        <v>191</v>
      </c>
      <c r="D47" t="s">
        <v>192</v>
      </c>
      <c r="E47">
        <v>25</v>
      </c>
      <c r="F47">
        <v>2018</v>
      </c>
      <c r="G47">
        <f>'Primary Data'!A53</f>
        <v>547169</v>
      </c>
      <c r="H47" t="str">
        <f>"CHEM-3A-"&amp;'Primary Data'!C53&amp;"-2025FA"</f>
        <v>CHEM-3A-43958-2025FA</v>
      </c>
      <c r="I47" s="1" t="str">
        <f>_xlfn.XLOOKUP(G47,'Course Grades'!$B$3:$B$56,'Course Grades'!$E$3:$E$56)</f>
        <v>A</v>
      </c>
      <c r="J47" s="1">
        <f>'Primary Data'!E53</f>
        <v>23</v>
      </c>
      <c r="K47" s="8">
        <f>'Primary Data'!H53</f>
        <v>42.857142857142854</v>
      </c>
      <c r="L47" s="8">
        <f>'Primary Data'!J53</f>
        <v>53.333333333333336</v>
      </c>
      <c r="M47" s="1">
        <f>_xlfn.XLOOKUP(G47,'Lab Practical Score'!$B$2:$B$50,'Lab Practical Score'!$C$2:$C$50)</f>
        <v>76</v>
      </c>
    </row>
    <row r="48" spans="1:13" x14ac:dyDescent="0.2">
      <c r="A48" t="s">
        <v>189</v>
      </c>
      <c r="B48" t="s">
        <v>190</v>
      </c>
      <c r="C48" t="s">
        <v>191</v>
      </c>
      <c r="D48" t="s">
        <v>192</v>
      </c>
      <c r="E48">
        <v>25</v>
      </c>
      <c r="F48">
        <v>2018</v>
      </c>
      <c r="G48">
        <f>'Primary Data'!A54</f>
        <v>997376</v>
      </c>
      <c r="H48" t="str">
        <f>"CHEM-3A-"&amp;'Primary Data'!C54&amp;"-2025FA"</f>
        <v>CHEM-3A-43958-2025FA</v>
      </c>
      <c r="I48" s="1" t="str">
        <f>_xlfn.XLOOKUP(G48,'Course Grades'!$B$3:$B$56,'Course Grades'!$E$3:$E$56)</f>
        <v>B</v>
      </c>
      <c r="J48" s="1">
        <f>'Primary Data'!E54</f>
        <v>16</v>
      </c>
      <c r="K48" s="8">
        <f>'Primary Data'!H54</f>
        <v>28.571428571428569</v>
      </c>
      <c r="L48" s="8">
        <f>'Primary Data'!J54</f>
        <v>26.666666666666668</v>
      </c>
      <c r="M48" s="1">
        <f>_xlfn.XLOOKUP(G48,'Lab Practical Score'!$B$2:$B$50,'Lab Practical Score'!$C$2:$C$50)</f>
        <v>65</v>
      </c>
    </row>
    <row r="49" spans="1:13" x14ac:dyDescent="0.2">
      <c r="A49" t="s">
        <v>189</v>
      </c>
      <c r="B49" t="s">
        <v>190</v>
      </c>
      <c r="C49" t="s">
        <v>191</v>
      </c>
      <c r="D49" t="s">
        <v>192</v>
      </c>
      <c r="E49">
        <v>25</v>
      </c>
      <c r="F49">
        <v>2018</v>
      </c>
      <c r="G49">
        <f>'Primary Data'!A55</f>
        <v>754151</v>
      </c>
      <c r="H49" t="str">
        <f>"CHEM-3A-"&amp;'Primary Data'!C55&amp;"-2025FA"</f>
        <v>CHEM-3A-43958-2025FA</v>
      </c>
      <c r="I49" s="1" t="str">
        <f>_xlfn.XLOOKUP(G49,'Course Grades'!$B$3:$B$56,'Course Grades'!$E$3:$E$56)</f>
        <v>C</v>
      </c>
      <c r="J49" s="1">
        <f>'Primary Data'!E55</f>
        <v>19</v>
      </c>
      <c r="K49" s="8">
        <f>'Primary Data'!H55</f>
        <v>50</v>
      </c>
      <c r="L49" s="8">
        <f>'Primary Data'!J55</f>
        <v>33.333333333333329</v>
      </c>
      <c r="M49" s="1">
        <f>_xlfn.XLOOKUP(G49,'Lab Practical Score'!$B$2:$B$50,'Lab Practical Score'!$C$2:$C$50)</f>
        <v>52</v>
      </c>
    </row>
    <row r="50" spans="1:13" x14ac:dyDescent="0.2">
      <c r="G50" s="2"/>
      <c r="K50" s="8"/>
    </row>
    <row r="51" spans="1:13" x14ac:dyDescent="0.2">
      <c r="G51" s="2"/>
      <c r="K51" s="8"/>
    </row>
    <row r="52" spans="1:13" x14ac:dyDescent="0.2">
      <c r="G52" s="2"/>
      <c r="K52" s="8"/>
    </row>
    <row r="53" spans="1:13" x14ac:dyDescent="0.2">
      <c r="G53" s="2"/>
      <c r="K53" s="8"/>
    </row>
    <row r="54" spans="1:13" x14ac:dyDescent="0.2">
      <c r="K54" s="8"/>
    </row>
    <row r="55" spans="1:13" x14ac:dyDescent="0.2">
      <c r="K5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 Data</vt:lpstr>
      <vt:lpstr>Course Grades</vt:lpstr>
      <vt:lpstr>Lab Practical Score</vt:lpstr>
      <vt:lpstr>To Catherine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fcc-labs</dc:creator>
  <cp:lastModifiedBy>Mitch Halloran</cp:lastModifiedBy>
  <dcterms:modified xsi:type="dcterms:W3CDTF">2025-12-16T02:31:19Z</dcterms:modified>
</cp:coreProperties>
</file>