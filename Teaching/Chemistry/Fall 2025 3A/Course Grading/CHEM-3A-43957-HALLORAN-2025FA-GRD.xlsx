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Course Grading\"/>
    </mc:Choice>
  </mc:AlternateContent>
  <xr:revisionPtr revIDLastSave="0" documentId="13_ncr:1_{CBFA74B1-9A34-411D-A6C3-56B5AE07E3CE}" xr6:coauthVersionLast="47" xr6:coauthVersionMax="47" xr10:uidLastSave="{00000000-0000-0000-0000-000000000000}"/>
  <bookViews>
    <workbookView xWindow="-120" yWindow="-120" windowWidth="38640" windowHeight="21120" xr2:uid="{D85EC858-809A-4FB7-B37A-9BC21B5F8611}"/>
  </bookViews>
  <sheets>
    <sheet name="2025-12-15T0733_Grades-CHEM-3A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B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16" i="1"/>
  <c r="CA17" i="1"/>
  <c r="CA18" i="1"/>
  <c r="CA8" i="1"/>
  <c r="CA9" i="1"/>
  <c r="CA10" i="1"/>
  <c r="CA11" i="1"/>
  <c r="CA12" i="1"/>
  <c r="CA13" i="1"/>
  <c r="CA14" i="1"/>
  <c r="CA15" i="1"/>
  <c r="CA4" i="1"/>
  <c r="CB6" i="1" s="1"/>
  <c r="CA5" i="1"/>
  <c r="CA6" i="1"/>
  <c r="CA7" i="1"/>
  <c r="CA3" i="1"/>
  <c r="CB7" i="1" s="1"/>
  <c r="CB3" i="1" l="1"/>
  <c r="CB4" i="1"/>
  <c r="CB5" i="1"/>
</calcChain>
</file>

<file path=xl/sharedStrings.xml><?xml version="1.0" encoding="utf-8"?>
<sst xmlns="http://schemas.openxmlformats.org/spreadsheetml/2006/main" count="342" uniqueCount="149">
  <si>
    <t>Student</t>
  </si>
  <si>
    <t>ID</t>
  </si>
  <si>
    <t>SIS User ID</t>
  </si>
  <si>
    <t>SIS Login ID</t>
  </si>
  <si>
    <t>Root Account</t>
  </si>
  <si>
    <t>Section</t>
  </si>
  <si>
    <t>Notes</t>
  </si>
  <si>
    <t>Course Welcome: Some Math, Some Chemistry (4153987)</t>
  </si>
  <si>
    <t>Week 1 -- Problem Set 1 (4182128)</t>
  </si>
  <si>
    <t>Week 1 -- Problem Set 2 (4182683)</t>
  </si>
  <si>
    <t>Week 2 - Chap 1-3 Assessment (4191340)</t>
  </si>
  <si>
    <t>HOMEWORK: Book Chapters 1-4 Exam Practice (4195993)</t>
  </si>
  <si>
    <t>Exam #2  Practice Set #2 (Graded) (4220900)</t>
  </si>
  <si>
    <t>Problem Set #5 on Gases (Chap 8) (4237292)</t>
  </si>
  <si>
    <t>Exam #3 Practice Set 1 (4254936)</t>
  </si>
  <si>
    <t>Exam #3 Practice Set 2 (4255812)</t>
  </si>
  <si>
    <t>Laboratory Experiment 1a: Making Measurements (4190389)</t>
  </si>
  <si>
    <t>[Extra Credit Opportunity]-- Pre-Lab Quiz: Experiment 9a  Solutions and Dilutions (4250091)</t>
  </si>
  <si>
    <t>Laboratory Experiment 4A Reports Submission (4209191)</t>
  </si>
  <si>
    <t>[Extra Credit Opportunity]-- Pre-Lab Quiz: Experiment 8a  Gas Constant R Determination (4237633)</t>
  </si>
  <si>
    <t>Laboratory Experiment 4B Reports Submission (4214259)</t>
  </si>
  <si>
    <t>Laboratory Experiment 5A Reports Submission (4216384)</t>
  </si>
  <si>
    <t>Lab Experiment 6a Report Submissions (4226909)</t>
  </si>
  <si>
    <t>Lab Experiment 7a Report Submissions (4227474)</t>
  </si>
  <si>
    <t>Laboratory Experiment 8a Reports Submission (4238597)</t>
  </si>
  <si>
    <t>Lab Experiment 9a Report Submission (4258641)</t>
  </si>
  <si>
    <t>Lab Experiment 10a Report Submission (4258688)</t>
  </si>
  <si>
    <t>Laboratory Experiment 11a Report Submission Link (4266933)</t>
  </si>
  <si>
    <t>Laboratory Experiment 12b: Determination of Citric Acid Report Submission (4277811)</t>
  </si>
  <si>
    <t>Midterm Exam #1 (4225442)</t>
  </si>
  <si>
    <t>Midterm Exam #2 (4234837)</t>
  </si>
  <si>
    <t>Midterm Exam #3 (4264853)</t>
  </si>
  <si>
    <t>Midterm Exam #4 (4285017)</t>
  </si>
  <si>
    <t>Exam 1 Retake (4299522)</t>
  </si>
  <si>
    <t>Exam 2 Retake (4299529)</t>
  </si>
  <si>
    <t>Exam 3 Retake (4299600)</t>
  </si>
  <si>
    <t>Lab Practical (4299667)</t>
  </si>
  <si>
    <t>3A Final Exam (4309693)</t>
  </si>
  <si>
    <t>Roll Call Attendance (4172558)</t>
  </si>
  <si>
    <t>âš›ï¸Pre-Lab Quiz - Exp 7a - Calorimetry (4211402)</t>
  </si>
  <si>
    <t>ðŸ“Š Data Report - EXP 7A - Calorimetry (4211413)</t>
  </si>
  <si>
    <t>âš›ï¸Pre-Lab Quiz - Exp 8a - Determination of the Ideal Gas Constant, R (4238518)</t>
  </si>
  <si>
    <t>ðŸ“Š Data Report - Exp 11a - Synthesis of Alum (4211417)</t>
  </si>
  <si>
    <t>âš›ï¸Pre-Lab Quiz - Exp 12b - Determination of Citric Acid in Soda (4211407)</t>
  </si>
  <si>
    <t>Exam #4 Practice Set 1 (4273746)</t>
  </si>
  <si>
    <t>Exam #4 Practice Set 2 (4275406)</t>
  </si>
  <si>
    <t>Homework/Problem Sets (15% Weight)   &lt;== SUBMIT HOMEWORK UNDER THIS HEADING Current Score</t>
  </si>
  <si>
    <t>Homework/Problem Sets (15% Weight)   &lt;== SUBMIT HOMEWORK UNDER THIS HEADING Unposted Current Score</t>
  </si>
  <si>
    <t>Homework/Problem Sets (15% Weight)   &lt;== SUBMIT HOMEWORK UNDER THIS HEADING Final Score</t>
  </si>
  <si>
    <t>Homework/Problem Sets (15% Weight)   &lt;== SUBMIT HOMEWORK UNDER THIS HEADING Unposted Final Score</t>
  </si>
  <si>
    <t>Lab Reports (15% Weight) &lt;== SUBMIT LAB REPORTS UNDER THIS HEADING Current Score</t>
  </si>
  <si>
    <t>Lab Reports (15% Weight) &lt;== SUBMIT LAB REPORTS UNDER THIS HEADING Unposted Current Score</t>
  </si>
  <si>
    <t>Lab Reports (15% Weight) &lt;== SUBMIT LAB REPORTS UNDER THIS HEADING Final Score</t>
  </si>
  <si>
    <t>Lab Reports (15% Weight) &lt;== SUBMIT LAB REPORTS UNDER THIS HEADING Unposted Final Score</t>
  </si>
  <si>
    <t>Midterms (55% Weight) Current Score</t>
  </si>
  <si>
    <t>Midterms (55% Weight) Unposted Current Score</t>
  </si>
  <si>
    <t>Midterms (55% Weight) Final Score</t>
  </si>
  <si>
    <t>Midterms (55% Weight) Unposted Final Score</t>
  </si>
  <si>
    <t>Lab Practical (5% Weight) Current Score</t>
  </si>
  <si>
    <t>Lab Practical (5% Weight) Unposted Current Score</t>
  </si>
  <si>
    <t>Lab Practical (5% Weight) Final Score</t>
  </si>
  <si>
    <t>Lab Practical (5% Weight) Unposted Final Score</t>
  </si>
  <si>
    <t>Final Exam (10% Weight) Current Score</t>
  </si>
  <si>
    <t>Final Exam (10% Weight) Unposted Current Score</t>
  </si>
  <si>
    <t>Final Exam (10% Weight) Final Score</t>
  </si>
  <si>
    <t>Final Exam (10% Weight) Unposted Final Score</t>
  </si>
  <si>
    <t>Assignments Current Score</t>
  </si>
  <si>
    <t>Assignments Unposted Current Score</t>
  </si>
  <si>
    <t>Assignments Final Score</t>
  </si>
  <si>
    <t>Assignments Unposted Final Score</t>
  </si>
  <si>
    <t>My Open Math Interactive Forms (DO NOT SUBMIT WORK UNDER THIS HEADING) Current Score</t>
  </si>
  <si>
    <t>My Open Math Interactive Forms (DO NOT SUBMIT WORK UNDER THIS HEADING) Unposted Current Score</t>
  </si>
  <si>
    <t>My Open Math Interactive Forms (DO NOT SUBMIT WORK UNDER THIS HEADING) Final Score</t>
  </si>
  <si>
    <t>My Open Math Interactive Forms (DO NOT SUBMIT WORK UNDER THIS HEADING) Unposted Final Score</t>
  </si>
  <si>
    <t>Current Score</t>
  </si>
  <si>
    <t>Unposted Current Score</t>
  </si>
  <si>
    <t>Unposted Final Score</t>
  </si>
  <si>
    <t xml:space="preserve">    Points Possible</t>
  </si>
  <si>
    <t>(read only)</t>
  </si>
  <si>
    <t>Andrade, Aaron</t>
  </si>
  <si>
    <t>0694264</t>
  </si>
  <si>
    <t>scccd.instructure.com</t>
  </si>
  <si>
    <t>CHEM-3A-43957-2025FA</t>
  </si>
  <si>
    <t>N/A</t>
  </si>
  <si>
    <t>Aquino, Hailey</t>
  </si>
  <si>
    <t>0873290</t>
  </si>
  <si>
    <t>EX</t>
  </si>
  <si>
    <t>Ceballos, Ariel</t>
  </si>
  <si>
    <t>0576373</t>
  </si>
  <si>
    <t>Corea, Kristie</t>
  </si>
  <si>
    <t>0994114</t>
  </si>
  <si>
    <t>Cuevas Romero, Daniela</t>
  </si>
  <si>
    <t>Esparza, Beatrice</t>
  </si>
  <si>
    <t>0888543</t>
  </si>
  <si>
    <t>Fang, Pa</t>
  </si>
  <si>
    <t>0737921</t>
  </si>
  <si>
    <t>Gamez, Sergio</t>
  </si>
  <si>
    <t>Garcia, Andres</t>
  </si>
  <si>
    <t>0790131</t>
  </si>
  <si>
    <t>Garcia, Sabrina</t>
  </si>
  <si>
    <t>0490011</t>
  </si>
  <si>
    <t>Hernan, Jazmine</t>
  </si>
  <si>
    <t>0871988</t>
  </si>
  <si>
    <t>Lopez, Jovina</t>
  </si>
  <si>
    <t>Marquez, Rocelia</t>
  </si>
  <si>
    <t>0345856</t>
  </si>
  <si>
    <t>Moua, Haley</t>
  </si>
  <si>
    <t>0986455</t>
  </si>
  <si>
    <t>Munoz Cisneros, Evelyn</t>
  </si>
  <si>
    <t>Nounvilaythong, Samaria</t>
  </si>
  <si>
    <t>Olea, Joscelyne</t>
  </si>
  <si>
    <t>Pascale, Teah</t>
  </si>
  <si>
    <t>Pedroza, Serena</t>
  </si>
  <si>
    <t>0895473</t>
  </si>
  <si>
    <t>Pyle, Matt</t>
  </si>
  <si>
    <t>0523330</t>
  </si>
  <si>
    <t>Ross, Derick</t>
  </si>
  <si>
    <t>0964444</t>
  </si>
  <si>
    <t>Sandoval, Emily</t>
  </si>
  <si>
    <t>Santos, Madi</t>
  </si>
  <si>
    <t>0924739</t>
  </si>
  <si>
    <t>Sarkisyan, Rita</t>
  </si>
  <si>
    <t>0891883</t>
  </si>
  <si>
    <t>Snell, Tricia</t>
  </si>
  <si>
    <t>Tacadena, Elle</t>
  </si>
  <si>
    <t>0896290</t>
  </si>
  <si>
    <t>Vargas, Lisa</t>
  </si>
  <si>
    <t>0775232</t>
  </si>
  <si>
    <t>Wright, Rebecca</t>
  </si>
  <si>
    <t>0934216</t>
  </si>
  <si>
    <t>Course Grade</t>
  </si>
  <si>
    <t>Notes on Course Grading</t>
  </si>
  <si>
    <t>See below last row of student roster</t>
  </si>
  <si>
    <t>A</t>
  </si>
  <si>
    <t>B</t>
  </si>
  <si>
    <t>C</t>
  </si>
  <si>
    <t>D</t>
  </si>
  <si>
    <t>F</t>
  </si>
  <si>
    <t>Total Points in Canvas Gradebook</t>
  </si>
  <si>
    <t>From</t>
  </si>
  <si>
    <t>To</t>
  </si>
  <si>
    <t>Grade</t>
  </si>
  <si>
    <t>--</t>
  </si>
  <si>
    <t>Course Grading</t>
  </si>
  <si>
    <t>Justification
for
Course Grading</t>
  </si>
  <si>
    <t>1) Had benefit of viewing grading of 43908/43911 course. Instructor appeared to use non-linear transformation in curving grading to a 60-100 ABCDF scale. I did not.
2) Was able to compare final exam performance of 43908/11 course to my 43957/58 course--all departmental 3A course students took same final--and the parametric statistics (mean, standard deviation, median, etc) had NO significant difference
3) Distribution of letter grades in 43908/11 course are identical to mine except there were more F letter grades in other course (consequence of attempting non-linear transformations of percent performance</t>
  </si>
  <si>
    <r>
      <rPr>
        <b/>
        <sz val="8"/>
        <color theme="1"/>
        <rFont val="Aptos Narrow"/>
        <family val="2"/>
        <scheme val="minor"/>
      </rPr>
      <t xml:space="preserve">(Letter Grade based on this Percentage)
</t>
    </r>
    <r>
      <rPr>
        <b/>
        <sz val="12"/>
        <color theme="1"/>
        <rFont val="Aptos Narrow"/>
        <family val="2"/>
        <scheme val="minor"/>
      </rPr>
      <t xml:space="preserve">
Final Score</t>
    </r>
  </si>
  <si>
    <t>Points</t>
  </si>
  <si>
    <t>section count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</si>
</sst>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20" fillId="0" borderId="0" xfId="0" quotePrefix="1" applyFont="1" applyAlignment="1">
      <alignment horizontal="center"/>
    </xf>
    <xf numFmtId="0" fontId="20" fillId="0" borderId="0" xfId="0" applyFont="1" applyAlignment="1">
      <alignment wrapText="1"/>
    </xf>
    <xf numFmtId="0" fontId="20" fillId="0" borderId="0" xfId="0" applyFont="1"/>
    <xf numFmtId="2" fontId="20" fillId="0" borderId="0" xfId="0" applyNumberFormat="1" applyFont="1"/>
    <xf numFmtId="0" fontId="25" fillId="0" borderId="10" xfId="0" applyFont="1" applyBorder="1" applyAlignment="1">
      <alignment horizontal="left" vertical="center" wrapText="1" indent="1" readingOrder="1"/>
    </xf>
    <xf numFmtId="0" fontId="24" fillId="0" borderId="10" xfId="0" applyFont="1" applyBorder="1" applyAlignment="1">
      <alignment horizontal="left" vertical="center" wrapText="1" indent="1" readingOrder="1"/>
    </xf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right" vertical="center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D5BF-F294-403D-9BE3-9824A512A337}">
  <dimension ref="A1:CB48"/>
  <sheetViews>
    <sheetView tabSelected="1" workbookViewId="0">
      <pane xSplit="1" ySplit="1" topLeftCell="B2" activePane="bottomRight" state="frozenSplit"/>
      <selection pane="topRight" activeCell="Q1" sqref="Q1"/>
      <selection pane="bottomLeft" activeCell="A13" sqref="A13"/>
      <selection pane="bottomRight" activeCell="F21" sqref="F21"/>
    </sheetView>
  </sheetViews>
  <sheetFormatPr defaultRowHeight="15.75" x14ac:dyDescent="0.25"/>
  <cols>
    <col min="1" max="1" width="27" customWidth="1"/>
    <col min="3" max="3" width="10.5703125" style="3" customWidth="1"/>
    <col min="4" max="4" width="11" style="3" customWidth="1"/>
    <col min="6" max="6" width="22" customWidth="1"/>
    <col min="77" max="77" width="9.140625" style="10"/>
    <col min="79" max="79" width="11.28515625" style="3" customWidth="1"/>
    <col min="80" max="80" width="33.85546875" customWidth="1"/>
  </cols>
  <sheetData>
    <row r="1" spans="1:80" s="1" customFormat="1" ht="225.7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9" t="s">
        <v>146</v>
      </c>
      <c r="BZ1" s="1" t="s">
        <v>76</v>
      </c>
      <c r="CA1" s="5" t="s">
        <v>130</v>
      </c>
      <c r="CB1" s="6" t="s">
        <v>131</v>
      </c>
    </row>
    <row r="2" spans="1:80" ht="18.75" x14ac:dyDescent="0.3">
      <c r="A2" t="s">
        <v>77</v>
      </c>
      <c r="H2">
        <v>2</v>
      </c>
      <c r="I2">
        <v>25</v>
      </c>
      <c r="J2">
        <v>79</v>
      </c>
      <c r="K2">
        <v>25</v>
      </c>
      <c r="L2">
        <v>25</v>
      </c>
      <c r="M2">
        <v>71</v>
      </c>
      <c r="N2">
        <v>75</v>
      </c>
      <c r="O2">
        <v>200</v>
      </c>
      <c r="P2">
        <v>200</v>
      </c>
      <c r="Q2">
        <v>200</v>
      </c>
      <c r="R2">
        <v>0</v>
      </c>
      <c r="S2">
        <v>200</v>
      </c>
      <c r="T2">
        <v>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0</v>
      </c>
      <c r="AO2">
        <v>0</v>
      </c>
      <c r="AP2">
        <v>10</v>
      </c>
      <c r="AQ2">
        <v>100</v>
      </c>
      <c r="AR2">
        <v>0</v>
      </c>
      <c r="AS2">
        <v>0</v>
      </c>
      <c r="AT2">
        <v>0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  <c r="BU2" t="s">
        <v>78</v>
      </c>
      <c r="BV2" t="s">
        <v>78</v>
      </c>
      <c r="BW2" t="s">
        <v>78</v>
      </c>
      <c r="BX2" t="s">
        <v>78</v>
      </c>
      <c r="BY2" s="10" t="s">
        <v>78</v>
      </c>
      <c r="BZ2" t="s">
        <v>78</v>
      </c>
      <c r="CA2" s="5"/>
      <c r="CB2" t="s">
        <v>132</v>
      </c>
    </row>
    <row r="3" spans="1:80" x14ac:dyDescent="0.25">
      <c r="A3" t="s">
        <v>79</v>
      </c>
      <c r="B3">
        <v>175317</v>
      </c>
      <c r="C3" s="4" t="s">
        <v>80</v>
      </c>
      <c r="D3" s="4" t="s">
        <v>80</v>
      </c>
      <c r="E3" t="s">
        <v>81</v>
      </c>
      <c r="F3" t="s">
        <v>82</v>
      </c>
      <c r="H3">
        <v>2</v>
      </c>
      <c r="I3">
        <v>25</v>
      </c>
      <c r="J3">
        <v>75</v>
      </c>
      <c r="K3">
        <v>23</v>
      </c>
      <c r="L3">
        <v>25</v>
      </c>
      <c r="M3">
        <v>68</v>
      </c>
      <c r="N3">
        <v>75</v>
      </c>
      <c r="O3">
        <v>0</v>
      </c>
      <c r="P3">
        <v>190.48</v>
      </c>
      <c r="Q3">
        <v>200</v>
      </c>
      <c r="R3">
        <v>40</v>
      </c>
      <c r="S3">
        <v>192</v>
      </c>
      <c r="T3">
        <v>30</v>
      </c>
      <c r="U3">
        <v>197</v>
      </c>
      <c r="V3">
        <v>145</v>
      </c>
      <c r="W3">
        <v>195</v>
      </c>
      <c r="X3">
        <v>200</v>
      </c>
      <c r="Y3">
        <v>0</v>
      </c>
      <c r="Z3">
        <v>0</v>
      </c>
      <c r="AA3">
        <v>180</v>
      </c>
      <c r="AB3">
        <v>195</v>
      </c>
      <c r="AC3">
        <v>188</v>
      </c>
      <c r="AD3">
        <v>73.3</v>
      </c>
      <c r="AE3">
        <v>68.3</v>
      </c>
      <c r="AF3">
        <v>85.9</v>
      </c>
      <c r="AG3">
        <v>62.4</v>
      </c>
      <c r="AH3" t="s">
        <v>83</v>
      </c>
      <c r="AI3" t="s">
        <v>83</v>
      </c>
      <c r="AJ3" t="s">
        <v>83</v>
      </c>
      <c r="AK3">
        <v>46</v>
      </c>
      <c r="AL3">
        <v>48</v>
      </c>
      <c r="AM3">
        <v>95</v>
      </c>
      <c r="AS3">
        <v>0</v>
      </c>
      <c r="AT3">
        <v>0</v>
      </c>
      <c r="AU3">
        <v>97.76</v>
      </c>
      <c r="AV3">
        <v>97.76</v>
      </c>
      <c r="AW3">
        <v>97.76</v>
      </c>
      <c r="AX3">
        <v>97.76</v>
      </c>
      <c r="AY3">
        <v>88.1</v>
      </c>
      <c r="AZ3">
        <v>88.1</v>
      </c>
      <c r="BA3">
        <v>88.1</v>
      </c>
      <c r="BB3">
        <v>88.1</v>
      </c>
      <c r="BC3">
        <v>72.48</v>
      </c>
      <c r="BD3">
        <v>72.48</v>
      </c>
      <c r="BE3">
        <v>72.48</v>
      </c>
      <c r="BF3">
        <v>72.48</v>
      </c>
      <c r="BG3">
        <v>46</v>
      </c>
      <c r="BH3">
        <v>46</v>
      </c>
      <c r="BI3">
        <v>46</v>
      </c>
      <c r="BJ3">
        <v>46</v>
      </c>
      <c r="BK3">
        <v>48</v>
      </c>
      <c r="BL3">
        <v>48</v>
      </c>
      <c r="BM3">
        <v>48</v>
      </c>
      <c r="BN3">
        <v>48</v>
      </c>
      <c r="BW3">
        <v>74.84</v>
      </c>
      <c r="BX3">
        <v>74.84</v>
      </c>
      <c r="BY3" s="11">
        <v>74.84</v>
      </c>
      <c r="BZ3">
        <v>74.84</v>
      </c>
      <c r="CA3" s="7" t="str">
        <f>VLOOKUP(BY3, $BZ$34:$CA$38, 2, TRUE)</f>
        <v>B</v>
      </c>
      <c r="CB3" t="str">
        <f>"count of A grades = "&amp;(COUNTIF($CA$3:$CA$31,"A"))</f>
        <v>count of A grades = 4</v>
      </c>
    </row>
    <row r="4" spans="1:80" x14ac:dyDescent="0.25">
      <c r="A4" t="s">
        <v>84</v>
      </c>
      <c r="B4">
        <v>201689</v>
      </c>
      <c r="C4" s="4" t="s">
        <v>85</v>
      </c>
      <c r="D4" s="4" t="s">
        <v>85</v>
      </c>
      <c r="E4" t="s">
        <v>81</v>
      </c>
      <c r="F4" t="s">
        <v>82</v>
      </c>
      <c r="H4">
        <v>2</v>
      </c>
      <c r="I4">
        <v>25</v>
      </c>
      <c r="J4">
        <v>73</v>
      </c>
      <c r="K4">
        <v>19</v>
      </c>
      <c r="L4">
        <v>24</v>
      </c>
      <c r="M4">
        <v>68</v>
      </c>
      <c r="N4">
        <v>70</v>
      </c>
      <c r="O4">
        <v>198.25</v>
      </c>
      <c r="P4">
        <v>195.24</v>
      </c>
      <c r="Q4">
        <v>200</v>
      </c>
      <c r="S4">
        <v>200</v>
      </c>
      <c r="T4">
        <v>24</v>
      </c>
      <c r="U4">
        <v>199</v>
      </c>
      <c r="V4">
        <v>200</v>
      </c>
      <c r="W4">
        <v>197</v>
      </c>
      <c r="X4">
        <v>190</v>
      </c>
      <c r="Y4">
        <v>199</v>
      </c>
      <c r="Z4">
        <v>200</v>
      </c>
      <c r="AA4">
        <v>198</v>
      </c>
      <c r="AB4">
        <v>200</v>
      </c>
      <c r="AC4">
        <v>0</v>
      </c>
      <c r="AD4">
        <v>84</v>
      </c>
      <c r="AE4">
        <v>96.3</v>
      </c>
      <c r="AF4">
        <v>96.5</v>
      </c>
      <c r="AG4">
        <v>89.4</v>
      </c>
      <c r="AH4" t="s">
        <v>83</v>
      </c>
      <c r="AI4" t="s">
        <v>83</v>
      </c>
      <c r="AJ4" t="s">
        <v>83</v>
      </c>
      <c r="AK4">
        <v>58</v>
      </c>
      <c r="AL4">
        <v>84</v>
      </c>
      <c r="AM4">
        <v>98</v>
      </c>
      <c r="AQ4">
        <v>33.6</v>
      </c>
      <c r="AU4">
        <v>94.58</v>
      </c>
      <c r="AV4">
        <v>94.58</v>
      </c>
      <c r="AW4">
        <v>94.58</v>
      </c>
      <c r="AX4">
        <v>94.58</v>
      </c>
      <c r="AY4">
        <v>100.35</v>
      </c>
      <c r="AZ4">
        <v>100.35</v>
      </c>
      <c r="BA4">
        <v>100.35</v>
      </c>
      <c r="BB4">
        <v>100.35</v>
      </c>
      <c r="BC4">
        <v>91.55</v>
      </c>
      <c r="BD4">
        <v>91.55</v>
      </c>
      <c r="BE4">
        <v>91.55</v>
      </c>
      <c r="BF4">
        <v>91.55</v>
      </c>
      <c r="BG4">
        <v>58</v>
      </c>
      <c r="BH4">
        <v>58</v>
      </c>
      <c r="BI4">
        <v>58</v>
      </c>
      <c r="BJ4">
        <v>58</v>
      </c>
      <c r="BK4">
        <v>84</v>
      </c>
      <c r="BL4">
        <v>84</v>
      </c>
      <c r="BM4">
        <v>84</v>
      </c>
      <c r="BN4">
        <v>84</v>
      </c>
      <c r="BW4">
        <v>90.89</v>
      </c>
      <c r="BX4">
        <v>90.89</v>
      </c>
      <c r="BY4" s="11">
        <v>90.89</v>
      </c>
      <c r="BZ4">
        <v>90.89</v>
      </c>
      <c r="CA4" s="7" t="str">
        <f>VLOOKUP(BY4, $BZ$34:$CA$38, 2, TRUE)</f>
        <v>A</v>
      </c>
      <c r="CB4" t="str">
        <f>"count of B grades = "&amp;(COUNTIF($CA$3:$CA$31,"B"))</f>
        <v>count of B grades = 8</v>
      </c>
    </row>
    <row r="5" spans="1:80" x14ac:dyDescent="0.25">
      <c r="A5" t="s">
        <v>87</v>
      </c>
      <c r="B5">
        <v>262951</v>
      </c>
      <c r="C5" s="4" t="s">
        <v>88</v>
      </c>
      <c r="D5" s="4" t="s">
        <v>88</v>
      </c>
      <c r="E5" t="s">
        <v>81</v>
      </c>
      <c r="F5" t="s">
        <v>82</v>
      </c>
      <c r="H5">
        <v>2</v>
      </c>
      <c r="I5">
        <v>25</v>
      </c>
      <c r="J5">
        <v>70</v>
      </c>
      <c r="K5">
        <v>19</v>
      </c>
      <c r="L5">
        <v>21</v>
      </c>
      <c r="M5">
        <v>53</v>
      </c>
      <c r="N5">
        <v>70</v>
      </c>
      <c r="O5">
        <v>0</v>
      </c>
      <c r="P5">
        <v>0</v>
      </c>
      <c r="Q5">
        <v>200</v>
      </c>
      <c r="R5">
        <v>40</v>
      </c>
      <c r="S5">
        <v>200</v>
      </c>
      <c r="T5">
        <v>14</v>
      </c>
      <c r="U5">
        <v>195</v>
      </c>
      <c r="V5">
        <v>200</v>
      </c>
      <c r="W5">
        <v>155</v>
      </c>
      <c r="X5">
        <v>198</v>
      </c>
      <c r="Y5">
        <v>192</v>
      </c>
      <c r="Z5">
        <v>183</v>
      </c>
      <c r="AA5">
        <v>199</v>
      </c>
      <c r="AB5">
        <v>200</v>
      </c>
      <c r="AC5">
        <v>179</v>
      </c>
      <c r="AD5">
        <v>58</v>
      </c>
      <c r="AE5">
        <v>75.599999999999994</v>
      </c>
      <c r="AF5">
        <v>62.4</v>
      </c>
      <c r="AG5">
        <v>61.2</v>
      </c>
      <c r="AH5" t="s">
        <v>83</v>
      </c>
      <c r="AI5" t="s">
        <v>83</v>
      </c>
      <c r="AJ5" t="s">
        <v>83</v>
      </c>
      <c r="AK5">
        <v>58</v>
      </c>
      <c r="AL5">
        <v>58</v>
      </c>
      <c r="AM5">
        <v>93</v>
      </c>
      <c r="AN5">
        <v>0</v>
      </c>
      <c r="AO5">
        <v>0</v>
      </c>
      <c r="AP5">
        <v>6</v>
      </c>
      <c r="AU5">
        <v>89.61</v>
      </c>
      <c r="AV5">
        <v>89.61</v>
      </c>
      <c r="AW5">
        <v>89.61</v>
      </c>
      <c r="AX5">
        <v>89.61</v>
      </c>
      <c r="AY5">
        <v>100</v>
      </c>
      <c r="AZ5">
        <v>100</v>
      </c>
      <c r="BA5">
        <v>100</v>
      </c>
      <c r="BB5">
        <v>100</v>
      </c>
      <c r="BC5">
        <v>64.3</v>
      </c>
      <c r="BD5">
        <v>64.3</v>
      </c>
      <c r="BE5">
        <v>64.3</v>
      </c>
      <c r="BF5">
        <v>64.3</v>
      </c>
      <c r="BG5">
        <v>58</v>
      </c>
      <c r="BH5">
        <v>58</v>
      </c>
      <c r="BI5">
        <v>58</v>
      </c>
      <c r="BJ5">
        <v>58</v>
      </c>
      <c r="BK5">
        <v>58</v>
      </c>
      <c r="BL5">
        <v>58</v>
      </c>
      <c r="BM5">
        <v>58</v>
      </c>
      <c r="BN5">
        <v>58</v>
      </c>
      <c r="BW5">
        <v>72.510000000000005</v>
      </c>
      <c r="BX5">
        <v>72.510000000000005</v>
      </c>
      <c r="BY5" s="11">
        <v>72.510000000000005</v>
      </c>
      <c r="BZ5">
        <v>72.510000000000005</v>
      </c>
      <c r="CA5" s="7" t="str">
        <f>VLOOKUP(BY5, $BZ$34:$CA$38, 2, TRUE)</f>
        <v>B</v>
      </c>
      <c r="CB5" t="str">
        <f>"count of C grades = "&amp;(COUNTIF($CA$3:$CA$31,"C"))</f>
        <v>count of C grades = 9</v>
      </c>
    </row>
    <row r="6" spans="1:80" x14ac:dyDescent="0.25">
      <c r="A6" t="s">
        <v>89</v>
      </c>
      <c r="B6">
        <v>363178</v>
      </c>
      <c r="C6" s="4" t="s">
        <v>90</v>
      </c>
      <c r="D6" s="4" t="s">
        <v>90</v>
      </c>
      <c r="E6" t="s">
        <v>81</v>
      </c>
      <c r="F6" t="s">
        <v>82</v>
      </c>
      <c r="H6">
        <v>2</v>
      </c>
      <c r="I6">
        <v>23</v>
      </c>
      <c r="J6">
        <v>78</v>
      </c>
      <c r="K6">
        <v>22</v>
      </c>
      <c r="L6">
        <v>25</v>
      </c>
      <c r="M6">
        <v>68</v>
      </c>
      <c r="N6">
        <v>75</v>
      </c>
      <c r="O6">
        <v>200</v>
      </c>
      <c r="P6">
        <v>190.48</v>
      </c>
      <c r="Q6">
        <v>200</v>
      </c>
      <c r="R6">
        <v>35</v>
      </c>
      <c r="S6">
        <v>188</v>
      </c>
      <c r="T6">
        <v>30</v>
      </c>
      <c r="U6">
        <v>175</v>
      </c>
      <c r="V6">
        <v>200</v>
      </c>
      <c r="W6">
        <v>195</v>
      </c>
      <c r="X6">
        <v>185</v>
      </c>
      <c r="Y6">
        <v>199</v>
      </c>
      <c r="Z6">
        <v>198</v>
      </c>
      <c r="AA6">
        <v>199</v>
      </c>
      <c r="AB6">
        <v>178</v>
      </c>
      <c r="AC6">
        <v>192</v>
      </c>
      <c r="AD6">
        <v>34</v>
      </c>
      <c r="AE6">
        <v>46.3</v>
      </c>
      <c r="AF6">
        <v>57.6</v>
      </c>
      <c r="AG6">
        <v>49.4</v>
      </c>
      <c r="AH6" t="s">
        <v>83</v>
      </c>
      <c r="AI6" t="s">
        <v>83</v>
      </c>
      <c r="AJ6" t="s">
        <v>83</v>
      </c>
      <c r="AK6">
        <v>43</v>
      </c>
      <c r="AL6">
        <v>34</v>
      </c>
      <c r="AM6">
        <v>83</v>
      </c>
      <c r="AQ6">
        <v>24</v>
      </c>
      <c r="AU6">
        <v>97.83</v>
      </c>
      <c r="AV6">
        <v>97.83</v>
      </c>
      <c r="AW6">
        <v>97.83</v>
      </c>
      <c r="AX6">
        <v>97.83</v>
      </c>
      <c r="AY6">
        <v>99.95</v>
      </c>
      <c r="AZ6">
        <v>99.95</v>
      </c>
      <c r="BA6">
        <v>99.95</v>
      </c>
      <c r="BB6">
        <v>99.95</v>
      </c>
      <c r="BC6">
        <v>46.83</v>
      </c>
      <c r="BD6">
        <v>46.83</v>
      </c>
      <c r="BE6">
        <v>46.83</v>
      </c>
      <c r="BF6">
        <v>46.83</v>
      </c>
      <c r="BG6">
        <v>43</v>
      </c>
      <c r="BH6">
        <v>43</v>
      </c>
      <c r="BI6">
        <v>43</v>
      </c>
      <c r="BJ6">
        <v>43</v>
      </c>
      <c r="BK6">
        <v>34</v>
      </c>
      <c r="BL6">
        <v>34</v>
      </c>
      <c r="BM6">
        <v>34</v>
      </c>
      <c r="BN6">
        <v>34</v>
      </c>
      <c r="BW6">
        <v>60.97</v>
      </c>
      <c r="BX6">
        <v>60.97</v>
      </c>
      <c r="BY6" s="11">
        <v>60.97</v>
      </c>
      <c r="BZ6">
        <v>60.97</v>
      </c>
      <c r="CA6" s="7" t="str">
        <f>VLOOKUP(BY6, $BZ$34:$CA$38, 2, TRUE)</f>
        <v>C</v>
      </c>
      <c r="CB6" t="str">
        <f>"count of D grades = "&amp;(COUNTIF($CA$3:$CA$31,"D"))</f>
        <v>count of D grades = 7</v>
      </c>
    </row>
    <row r="7" spans="1:80" x14ac:dyDescent="0.25">
      <c r="A7" t="s">
        <v>91</v>
      </c>
      <c r="B7">
        <v>402386</v>
      </c>
      <c r="C7" s="3">
        <v>1024952</v>
      </c>
      <c r="D7" s="3">
        <v>1024952</v>
      </c>
      <c r="E7" t="s">
        <v>81</v>
      </c>
      <c r="F7" t="s">
        <v>82</v>
      </c>
      <c r="H7">
        <v>2</v>
      </c>
      <c r="I7">
        <v>25</v>
      </c>
      <c r="J7">
        <v>74</v>
      </c>
      <c r="K7">
        <v>23</v>
      </c>
      <c r="L7">
        <v>23</v>
      </c>
      <c r="M7">
        <v>62</v>
      </c>
      <c r="N7">
        <v>75</v>
      </c>
      <c r="O7">
        <v>0</v>
      </c>
      <c r="P7">
        <v>0</v>
      </c>
      <c r="Q7">
        <v>200</v>
      </c>
      <c r="R7">
        <v>40</v>
      </c>
      <c r="S7">
        <v>197</v>
      </c>
      <c r="T7">
        <v>28</v>
      </c>
      <c r="U7">
        <v>175</v>
      </c>
      <c r="V7">
        <v>180</v>
      </c>
      <c r="W7">
        <v>140</v>
      </c>
      <c r="X7">
        <v>140</v>
      </c>
      <c r="Y7">
        <v>190</v>
      </c>
      <c r="Z7">
        <v>167</v>
      </c>
      <c r="AA7">
        <v>185</v>
      </c>
      <c r="AB7">
        <v>195</v>
      </c>
      <c r="AC7">
        <v>165</v>
      </c>
      <c r="AD7">
        <v>80</v>
      </c>
      <c r="AE7">
        <v>95.1</v>
      </c>
      <c r="AF7">
        <v>75.3</v>
      </c>
      <c r="AG7">
        <v>32</v>
      </c>
      <c r="AH7" t="s">
        <v>83</v>
      </c>
      <c r="AI7" t="s">
        <v>83</v>
      </c>
      <c r="AJ7" t="s">
        <v>83</v>
      </c>
      <c r="AK7">
        <v>0</v>
      </c>
      <c r="AL7">
        <v>32</v>
      </c>
      <c r="AM7">
        <v>95</v>
      </c>
      <c r="AU7">
        <v>96.1</v>
      </c>
      <c r="AV7">
        <v>96.1</v>
      </c>
      <c r="AW7">
        <v>96.1</v>
      </c>
      <c r="AX7">
        <v>96.1</v>
      </c>
      <c r="AY7">
        <v>93.1</v>
      </c>
      <c r="AZ7">
        <v>93.1</v>
      </c>
      <c r="BA7">
        <v>93.1</v>
      </c>
      <c r="BB7">
        <v>93.1</v>
      </c>
      <c r="BC7">
        <v>70.599999999999994</v>
      </c>
      <c r="BD7">
        <v>70.599999999999994</v>
      </c>
      <c r="BE7">
        <v>70.599999999999994</v>
      </c>
      <c r="BF7">
        <v>70.599999999999994</v>
      </c>
      <c r="BG7">
        <v>0</v>
      </c>
      <c r="BH7">
        <v>0</v>
      </c>
      <c r="BI7">
        <v>0</v>
      </c>
      <c r="BJ7">
        <v>0</v>
      </c>
      <c r="BK7">
        <v>32</v>
      </c>
      <c r="BL7">
        <v>32</v>
      </c>
      <c r="BM7">
        <v>32</v>
      </c>
      <c r="BN7">
        <v>32</v>
      </c>
      <c r="BW7">
        <v>70.41</v>
      </c>
      <c r="BX7">
        <v>70.41</v>
      </c>
      <c r="BY7" s="11">
        <v>70.41</v>
      </c>
      <c r="BZ7">
        <v>70.41</v>
      </c>
      <c r="CA7" s="7" t="str">
        <f>VLOOKUP(BY7, $BZ$34:$CA$38, 2, TRUE)</f>
        <v>B</v>
      </c>
      <c r="CB7" t="str">
        <f>"count of F grades = "&amp;(COUNTIF($CA$3:$CA$31,"F"))</f>
        <v>count of F grades = 0</v>
      </c>
    </row>
    <row r="8" spans="1:80" x14ac:dyDescent="0.25">
      <c r="A8" t="s">
        <v>92</v>
      </c>
      <c r="B8">
        <v>219842</v>
      </c>
      <c r="C8" s="4" t="s">
        <v>93</v>
      </c>
      <c r="D8" s="4" t="s">
        <v>93</v>
      </c>
      <c r="E8" t="s">
        <v>81</v>
      </c>
      <c r="F8" t="s">
        <v>82</v>
      </c>
      <c r="H8">
        <v>2</v>
      </c>
      <c r="I8">
        <v>25</v>
      </c>
      <c r="J8">
        <v>78</v>
      </c>
      <c r="K8">
        <v>23</v>
      </c>
      <c r="L8">
        <v>24</v>
      </c>
      <c r="M8">
        <v>62</v>
      </c>
      <c r="N8">
        <v>75</v>
      </c>
      <c r="O8">
        <v>0</v>
      </c>
      <c r="P8">
        <v>0</v>
      </c>
      <c r="Q8">
        <v>200</v>
      </c>
      <c r="R8">
        <v>40</v>
      </c>
      <c r="S8">
        <v>200</v>
      </c>
      <c r="T8">
        <v>0</v>
      </c>
      <c r="U8">
        <v>152</v>
      </c>
      <c r="V8">
        <v>200</v>
      </c>
      <c r="W8">
        <v>160</v>
      </c>
      <c r="X8">
        <v>200</v>
      </c>
      <c r="Y8">
        <v>198</v>
      </c>
      <c r="Z8">
        <v>50</v>
      </c>
      <c r="AA8">
        <v>198</v>
      </c>
      <c r="AB8">
        <v>195</v>
      </c>
      <c r="AC8">
        <v>199</v>
      </c>
      <c r="AD8">
        <v>26.7</v>
      </c>
      <c r="AE8">
        <v>36</v>
      </c>
      <c r="AF8">
        <v>82.4</v>
      </c>
      <c r="AG8">
        <v>23.5</v>
      </c>
      <c r="AH8" t="s">
        <v>83</v>
      </c>
      <c r="AI8" t="s">
        <v>83</v>
      </c>
      <c r="AJ8" t="s">
        <v>83</v>
      </c>
      <c r="AK8">
        <v>36</v>
      </c>
      <c r="AL8">
        <v>36</v>
      </c>
      <c r="AM8">
        <v>74</v>
      </c>
      <c r="AN8">
        <v>0</v>
      </c>
      <c r="AP8">
        <v>8</v>
      </c>
      <c r="AU8">
        <v>98.27</v>
      </c>
      <c r="AV8">
        <v>98.27</v>
      </c>
      <c r="AW8">
        <v>98.27</v>
      </c>
      <c r="AX8">
        <v>98.27</v>
      </c>
      <c r="AY8">
        <v>97.1</v>
      </c>
      <c r="AZ8">
        <v>97.1</v>
      </c>
      <c r="BA8">
        <v>97.1</v>
      </c>
      <c r="BB8">
        <v>97.1</v>
      </c>
      <c r="BC8">
        <v>42.15</v>
      </c>
      <c r="BD8">
        <v>42.15</v>
      </c>
      <c r="BE8">
        <v>42.15</v>
      </c>
      <c r="BF8">
        <v>42.15</v>
      </c>
      <c r="BG8">
        <v>36</v>
      </c>
      <c r="BH8">
        <v>36</v>
      </c>
      <c r="BI8">
        <v>36</v>
      </c>
      <c r="BJ8">
        <v>36</v>
      </c>
      <c r="BK8">
        <v>36</v>
      </c>
      <c r="BL8">
        <v>36</v>
      </c>
      <c r="BM8">
        <v>36</v>
      </c>
      <c r="BN8">
        <v>36</v>
      </c>
      <c r="BW8">
        <v>57.89</v>
      </c>
      <c r="BX8">
        <v>57.89</v>
      </c>
      <c r="BY8" s="11">
        <v>57.89</v>
      </c>
      <c r="BZ8">
        <v>57.89</v>
      </c>
      <c r="CA8" s="7" t="str">
        <f>VLOOKUP(BY8, $BZ$34:$CA$38, 2, TRUE)</f>
        <v>C</v>
      </c>
      <c r="CB8" t="str">
        <f>"total count of grades = "&amp;COUNT(BY3:BY31)</f>
        <v>total count of grades = 28</v>
      </c>
    </row>
    <row r="9" spans="1:80" x14ac:dyDescent="0.25">
      <c r="A9" t="s">
        <v>94</v>
      </c>
      <c r="B9">
        <v>455057</v>
      </c>
      <c r="C9" s="4" t="s">
        <v>95</v>
      </c>
      <c r="D9" s="4" t="s">
        <v>95</v>
      </c>
      <c r="E9" t="s">
        <v>81</v>
      </c>
      <c r="F9" t="s">
        <v>82</v>
      </c>
      <c r="H9">
        <v>2</v>
      </c>
      <c r="I9">
        <v>25</v>
      </c>
      <c r="J9">
        <v>71</v>
      </c>
      <c r="K9">
        <v>17</v>
      </c>
      <c r="L9">
        <v>24</v>
      </c>
      <c r="M9">
        <v>62</v>
      </c>
      <c r="N9">
        <v>75</v>
      </c>
      <c r="O9">
        <v>0</v>
      </c>
      <c r="P9">
        <v>0</v>
      </c>
      <c r="Q9">
        <v>200</v>
      </c>
      <c r="R9">
        <v>40</v>
      </c>
      <c r="S9">
        <v>180</v>
      </c>
      <c r="T9">
        <v>30</v>
      </c>
      <c r="U9">
        <v>172</v>
      </c>
      <c r="V9">
        <v>200</v>
      </c>
      <c r="W9">
        <v>199</v>
      </c>
      <c r="X9">
        <v>198</v>
      </c>
      <c r="Y9">
        <v>195</v>
      </c>
      <c r="Z9">
        <v>200</v>
      </c>
      <c r="AA9">
        <v>199</v>
      </c>
      <c r="AB9">
        <v>200</v>
      </c>
      <c r="AC9">
        <v>199</v>
      </c>
      <c r="AD9">
        <v>20</v>
      </c>
      <c r="AE9">
        <v>35.4</v>
      </c>
      <c r="AF9">
        <v>27.1</v>
      </c>
      <c r="AG9">
        <v>48.2</v>
      </c>
      <c r="AH9" t="s">
        <v>83</v>
      </c>
      <c r="AI9" t="s">
        <v>83</v>
      </c>
      <c r="AJ9" t="s">
        <v>83</v>
      </c>
      <c r="AK9">
        <v>40</v>
      </c>
      <c r="AL9">
        <v>0</v>
      </c>
      <c r="AM9">
        <v>95</v>
      </c>
      <c r="AP9">
        <v>6.6</v>
      </c>
      <c r="AQ9">
        <v>79.8</v>
      </c>
      <c r="AU9">
        <v>93.5</v>
      </c>
      <c r="AV9">
        <v>93.5</v>
      </c>
      <c r="AW9">
        <v>93.5</v>
      </c>
      <c r="AX9">
        <v>93.5</v>
      </c>
      <c r="AY9">
        <v>102</v>
      </c>
      <c r="AZ9">
        <v>102</v>
      </c>
      <c r="BA9">
        <v>102</v>
      </c>
      <c r="BB9">
        <v>102</v>
      </c>
      <c r="BC9">
        <v>32.68</v>
      </c>
      <c r="BD9">
        <v>32.68</v>
      </c>
      <c r="BE9">
        <v>32.68</v>
      </c>
      <c r="BF9">
        <v>32.68</v>
      </c>
      <c r="BG9">
        <v>40</v>
      </c>
      <c r="BH9">
        <v>40</v>
      </c>
      <c r="BI9">
        <v>40</v>
      </c>
      <c r="BJ9">
        <v>40</v>
      </c>
      <c r="BK9">
        <v>0</v>
      </c>
      <c r="BL9">
        <v>0</v>
      </c>
      <c r="BM9">
        <v>0</v>
      </c>
      <c r="BN9">
        <v>0</v>
      </c>
      <c r="BW9">
        <v>49.3</v>
      </c>
      <c r="BX9">
        <v>49.3</v>
      </c>
      <c r="BY9" s="11">
        <v>49.3</v>
      </c>
      <c r="BZ9">
        <v>49.3</v>
      </c>
      <c r="CA9" s="7" t="str">
        <f>VLOOKUP(BY9, $BZ$34:$CA$38, 2, TRUE)</f>
        <v>D</v>
      </c>
    </row>
    <row r="10" spans="1:80" x14ac:dyDescent="0.25">
      <c r="A10" t="s">
        <v>96</v>
      </c>
      <c r="B10">
        <v>421661</v>
      </c>
      <c r="C10" s="3">
        <v>1039936</v>
      </c>
      <c r="D10" s="3">
        <v>1039936</v>
      </c>
      <c r="E10" t="s">
        <v>81</v>
      </c>
      <c r="F10" t="s">
        <v>82</v>
      </c>
      <c r="H10">
        <v>2</v>
      </c>
      <c r="I10">
        <v>25</v>
      </c>
      <c r="J10">
        <v>73</v>
      </c>
      <c r="K10">
        <v>15</v>
      </c>
      <c r="L10">
        <v>12</v>
      </c>
      <c r="M10">
        <v>25</v>
      </c>
      <c r="N10">
        <v>0</v>
      </c>
      <c r="O10">
        <v>0</v>
      </c>
      <c r="P10">
        <v>0</v>
      </c>
      <c r="Q10">
        <v>180</v>
      </c>
      <c r="S10">
        <v>197</v>
      </c>
      <c r="T10">
        <v>17</v>
      </c>
      <c r="U10">
        <v>180</v>
      </c>
      <c r="V10">
        <v>200</v>
      </c>
      <c r="W10">
        <v>145</v>
      </c>
      <c r="X10">
        <v>188</v>
      </c>
      <c r="Y10">
        <v>120</v>
      </c>
      <c r="Z10">
        <v>105</v>
      </c>
      <c r="AA10">
        <v>135</v>
      </c>
      <c r="AB10">
        <v>188</v>
      </c>
      <c r="AC10">
        <v>198</v>
      </c>
      <c r="AD10">
        <v>46.7</v>
      </c>
      <c r="AE10">
        <v>61</v>
      </c>
      <c r="AF10">
        <v>52.9</v>
      </c>
      <c r="AG10">
        <v>34</v>
      </c>
      <c r="AH10" t="s">
        <v>83</v>
      </c>
      <c r="AI10" t="s">
        <v>83</v>
      </c>
      <c r="AJ10" t="s">
        <v>83</v>
      </c>
      <c r="AK10">
        <v>68</v>
      </c>
      <c r="AL10">
        <v>34</v>
      </c>
      <c r="AM10">
        <v>100</v>
      </c>
      <c r="AN10">
        <v>0</v>
      </c>
      <c r="AU10">
        <v>66.959999999999994</v>
      </c>
      <c r="AV10">
        <v>66.959999999999994</v>
      </c>
      <c r="AW10">
        <v>66.959999999999994</v>
      </c>
      <c r="AX10">
        <v>66.959999999999994</v>
      </c>
      <c r="AY10">
        <v>87.4</v>
      </c>
      <c r="AZ10">
        <v>87.4</v>
      </c>
      <c r="BA10">
        <v>87.4</v>
      </c>
      <c r="BB10">
        <v>87.4</v>
      </c>
      <c r="BC10">
        <v>48.65</v>
      </c>
      <c r="BD10">
        <v>48.65</v>
      </c>
      <c r="BE10">
        <v>48.65</v>
      </c>
      <c r="BF10">
        <v>48.65</v>
      </c>
      <c r="BG10">
        <v>68</v>
      </c>
      <c r="BH10">
        <v>68</v>
      </c>
      <c r="BI10">
        <v>68</v>
      </c>
      <c r="BJ10">
        <v>68</v>
      </c>
      <c r="BK10">
        <v>34</v>
      </c>
      <c r="BL10">
        <v>34</v>
      </c>
      <c r="BM10">
        <v>34</v>
      </c>
      <c r="BN10">
        <v>34</v>
      </c>
      <c r="BW10">
        <v>56.71</v>
      </c>
      <c r="BX10">
        <v>56.71</v>
      </c>
      <c r="BY10" s="11">
        <v>56.71</v>
      </c>
      <c r="BZ10">
        <v>56.71</v>
      </c>
      <c r="CA10" s="7" t="str">
        <f>VLOOKUP(BY10, $BZ$34:$CA$38, 2, TRUE)</f>
        <v>C</v>
      </c>
    </row>
    <row r="11" spans="1:80" x14ac:dyDescent="0.25">
      <c r="A11" t="s">
        <v>97</v>
      </c>
      <c r="B11">
        <v>71463</v>
      </c>
      <c r="C11" s="4" t="s">
        <v>98</v>
      </c>
      <c r="D11" s="4" t="s">
        <v>98</v>
      </c>
      <c r="E11" t="s">
        <v>81</v>
      </c>
      <c r="F11" t="s">
        <v>82</v>
      </c>
      <c r="H11">
        <v>2</v>
      </c>
      <c r="I11">
        <v>25</v>
      </c>
      <c r="J11">
        <v>79</v>
      </c>
      <c r="K11">
        <v>25</v>
      </c>
      <c r="L11">
        <v>25</v>
      </c>
      <c r="M11">
        <v>71</v>
      </c>
      <c r="N11">
        <v>70</v>
      </c>
      <c r="O11">
        <v>196.49</v>
      </c>
      <c r="P11">
        <v>195.24</v>
      </c>
      <c r="Q11">
        <v>196</v>
      </c>
      <c r="R11">
        <v>40</v>
      </c>
      <c r="S11">
        <v>200</v>
      </c>
      <c r="T11">
        <v>30</v>
      </c>
      <c r="U11">
        <v>200</v>
      </c>
      <c r="V11">
        <v>200</v>
      </c>
      <c r="W11">
        <v>189</v>
      </c>
      <c r="X11">
        <v>187</v>
      </c>
      <c r="Y11">
        <v>180</v>
      </c>
      <c r="Z11">
        <v>198</v>
      </c>
      <c r="AA11">
        <v>198</v>
      </c>
      <c r="AB11">
        <v>200</v>
      </c>
      <c r="AC11">
        <v>199</v>
      </c>
      <c r="AD11">
        <v>66.7</v>
      </c>
      <c r="AE11">
        <v>69.5</v>
      </c>
      <c r="AF11">
        <v>65.900000000000006</v>
      </c>
      <c r="AG11">
        <v>65.900000000000006</v>
      </c>
      <c r="AH11" t="s">
        <v>83</v>
      </c>
      <c r="AI11" t="s">
        <v>83</v>
      </c>
      <c r="AJ11" t="s">
        <v>83</v>
      </c>
      <c r="AK11">
        <v>57</v>
      </c>
      <c r="AL11">
        <v>52</v>
      </c>
      <c r="AM11">
        <v>90</v>
      </c>
      <c r="AU11">
        <v>100</v>
      </c>
      <c r="AV11">
        <v>100</v>
      </c>
      <c r="AW11">
        <v>100</v>
      </c>
      <c r="AX11">
        <v>100</v>
      </c>
      <c r="AY11">
        <v>101.85</v>
      </c>
      <c r="AZ11">
        <v>101.85</v>
      </c>
      <c r="BA11">
        <v>101.85</v>
      </c>
      <c r="BB11">
        <v>101.85</v>
      </c>
      <c r="BC11">
        <v>67</v>
      </c>
      <c r="BD11">
        <v>67</v>
      </c>
      <c r="BE11">
        <v>67</v>
      </c>
      <c r="BF11">
        <v>67</v>
      </c>
      <c r="BG11">
        <v>57</v>
      </c>
      <c r="BH11">
        <v>57</v>
      </c>
      <c r="BI11">
        <v>57</v>
      </c>
      <c r="BJ11">
        <v>57</v>
      </c>
      <c r="BK11">
        <v>52</v>
      </c>
      <c r="BL11">
        <v>52</v>
      </c>
      <c r="BM11">
        <v>52</v>
      </c>
      <c r="BN11">
        <v>52</v>
      </c>
      <c r="BW11">
        <v>75.180000000000007</v>
      </c>
      <c r="BX11">
        <v>75.180000000000007</v>
      </c>
      <c r="BY11" s="11">
        <v>75.180000000000007</v>
      </c>
      <c r="BZ11">
        <v>75.180000000000007</v>
      </c>
      <c r="CA11" s="7" t="str">
        <f>VLOOKUP(BY11, $BZ$34:$CA$38, 2, TRUE)</f>
        <v>B</v>
      </c>
    </row>
    <row r="12" spans="1:80" x14ac:dyDescent="0.25">
      <c r="A12" t="s">
        <v>99</v>
      </c>
      <c r="B12">
        <v>63765</v>
      </c>
      <c r="C12" s="4" t="s">
        <v>100</v>
      </c>
      <c r="D12" s="4" t="s">
        <v>100</v>
      </c>
      <c r="E12" t="s">
        <v>81</v>
      </c>
      <c r="F12" t="s">
        <v>82</v>
      </c>
      <c r="H12">
        <v>2</v>
      </c>
      <c r="I12">
        <v>25</v>
      </c>
      <c r="J12">
        <v>75</v>
      </c>
      <c r="K12">
        <v>25</v>
      </c>
      <c r="L12">
        <v>24</v>
      </c>
      <c r="M12">
        <v>68</v>
      </c>
      <c r="N12">
        <v>68</v>
      </c>
      <c r="O12">
        <v>0</v>
      </c>
      <c r="P12">
        <v>0</v>
      </c>
      <c r="Q12">
        <v>200</v>
      </c>
      <c r="R12">
        <v>40</v>
      </c>
      <c r="S12">
        <v>192</v>
      </c>
      <c r="T12">
        <v>0</v>
      </c>
      <c r="U12">
        <v>170</v>
      </c>
      <c r="V12">
        <v>200</v>
      </c>
      <c r="W12">
        <v>145</v>
      </c>
      <c r="X12">
        <v>183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40</v>
      </c>
      <c r="AE12">
        <v>31.7</v>
      </c>
      <c r="AF12">
        <v>38.799999999999997</v>
      </c>
      <c r="AG12">
        <v>32</v>
      </c>
      <c r="AH12" t="s">
        <v>83</v>
      </c>
      <c r="AI12" t="s">
        <v>83</v>
      </c>
      <c r="AJ12" t="s">
        <v>83</v>
      </c>
      <c r="AK12">
        <v>56</v>
      </c>
      <c r="AL12">
        <v>32</v>
      </c>
      <c r="AM12">
        <v>86</v>
      </c>
      <c r="AN12">
        <v>0</v>
      </c>
      <c r="AP12">
        <v>8</v>
      </c>
      <c r="AU12">
        <v>96.48</v>
      </c>
      <c r="AV12">
        <v>96.48</v>
      </c>
      <c r="AW12">
        <v>96.48</v>
      </c>
      <c r="AX12">
        <v>96.48</v>
      </c>
      <c r="AY12">
        <v>56.5</v>
      </c>
      <c r="AZ12">
        <v>56.5</v>
      </c>
      <c r="BA12">
        <v>56.5</v>
      </c>
      <c r="BB12">
        <v>56.5</v>
      </c>
      <c r="BC12">
        <v>35.630000000000003</v>
      </c>
      <c r="BD12">
        <v>35.630000000000003</v>
      </c>
      <c r="BE12">
        <v>35.630000000000003</v>
      </c>
      <c r="BF12">
        <v>35.630000000000003</v>
      </c>
      <c r="BG12">
        <v>56</v>
      </c>
      <c r="BH12">
        <v>56</v>
      </c>
      <c r="BI12">
        <v>56</v>
      </c>
      <c r="BJ12">
        <v>56</v>
      </c>
      <c r="BK12">
        <v>32</v>
      </c>
      <c r="BL12">
        <v>32</v>
      </c>
      <c r="BM12">
        <v>32</v>
      </c>
      <c r="BN12">
        <v>32</v>
      </c>
      <c r="BW12">
        <v>48.54</v>
      </c>
      <c r="BX12">
        <v>48.54</v>
      </c>
      <c r="BY12" s="11">
        <v>48.54</v>
      </c>
      <c r="BZ12">
        <v>48.54</v>
      </c>
      <c r="CA12" s="7" t="str">
        <f>VLOOKUP(BY12, $BZ$34:$CA$38, 2, TRUE)</f>
        <v>D</v>
      </c>
    </row>
    <row r="13" spans="1:80" x14ac:dyDescent="0.25">
      <c r="A13" t="s">
        <v>101</v>
      </c>
      <c r="B13">
        <v>200406</v>
      </c>
      <c r="C13" s="4" t="s">
        <v>102</v>
      </c>
      <c r="D13" s="4" t="s">
        <v>102</v>
      </c>
      <c r="E13" t="s">
        <v>81</v>
      </c>
      <c r="F13" t="s">
        <v>82</v>
      </c>
      <c r="H13">
        <v>2</v>
      </c>
      <c r="I13">
        <v>25</v>
      </c>
      <c r="J13">
        <v>74</v>
      </c>
      <c r="K13">
        <v>23</v>
      </c>
      <c r="L13">
        <v>23</v>
      </c>
      <c r="M13">
        <v>62</v>
      </c>
      <c r="N13">
        <v>0</v>
      </c>
      <c r="O13">
        <v>0</v>
      </c>
      <c r="P13">
        <v>0</v>
      </c>
      <c r="Q13">
        <v>200</v>
      </c>
      <c r="R13">
        <v>40</v>
      </c>
      <c r="S13">
        <v>180</v>
      </c>
      <c r="T13">
        <v>30</v>
      </c>
      <c r="U13">
        <v>200</v>
      </c>
      <c r="V13">
        <v>185</v>
      </c>
      <c r="W13">
        <v>189</v>
      </c>
      <c r="X13">
        <v>188</v>
      </c>
      <c r="Y13">
        <v>196</v>
      </c>
      <c r="Z13">
        <v>198</v>
      </c>
      <c r="AA13">
        <v>185</v>
      </c>
      <c r="AB13">
        <v>200</v>
      </c>
      <c r="AC13">
        <v>198</v>
      </c>
      <c r="AD13">
        <v>23.3</v>
      </c>
      <c r="AE13">
        <v>52.4</v>
      </c>
      <c r="AF13">
        <v>45.9</v>
      </c>
      <c r="AG13">
        <v>32</v>
      </c>
      <c r="AH13" t="s">
        <v>83</v>
      </c>
      <c r="AI13" t="s">
        <v>83</v>
      </c>
      <c r="AJ13" t="s">
        <v>83</v>
      </c>
      <c r="AK13">
        <v>30</v>
      </c>
      <c r="AL13">
        <v>32</v>
      </c>
      <c r="AM13">
        <v>100</v>
      </c>
      <c r="AQ13">
        <v>38.6</v>
      </c>
      <c r="AU13">
        <v>92.07</v>
      </c>
      <c r="AV13">
        <v>92.07</v>
      </c>
      <c r="AW13">
        <v>92.07</v>
      </c>
      <c r="AX13">
        <v>92.07</v>
      </c>
      <c r="AY13">
        <v>100.45</v>
      </c>
      <c r="AZ13">
        <v>100.45</v>
      </c>
      <c r="BA13">
        <v>100.45</v>
      </c>
      <c r="BB13">
        <v>100.45</v>
      </c>
      <c r="BC13">
        <v>38.4</v>
      </c>
      <c r="BD13">
        <v>38.4</v>
      </c>
      <c r="BE13">
        <v>38.4</v>
      </c>
      <c r="BF13">
        <v>38.4</v>
      </c>
      <c r="BG13">
        <v>30</v>
      </c>
      <c r="BH13">
        <v>30</v>
      </c>
      <c r="BI13">
        <v>30</v>
      </c>
      <c r="BJ13">
        <v>30</v>
      </c>
      <c r="BK13">
        <v>32</v>
      </c>
      <c r="BL13">
        <v>32</v>
      </c>
      <c r="BM13">
        <v>32</v>
      </c>
      <c r="BN13">
        <v>32</v>
      </c>
      <c r="BW13">
        <v>54.7</v>
      </c>
      <c r="BX13">
        <v>54.7</v>
      </c>
      <c r="BY13" s="11">
        <v>54.7</v>
      </c>
      <c r="BZ13">
        <v>54.7</v>
      </c>
      <c r="CA13" s="7" t="str">
        <f>VLOOKUP(BY13, $BZ$34:$CA$38, 2, TRUE)</f>
        <v>D</v>
      </c>
    </row>
    <row r="14" spans="1:80" x14ac:dyDescent="0.25">
      <c r="A14" t="s">
        <v>103</v>
      </c>
      <c r="B14">
        <v>406119</v>
      </c>
      <c r="C14" s="3">
        <v>1028207</v>
      </c>
      <c r="D14" s="3">
        <v>1028207</v>
      </c>
      <c r="E14" t="s">
        <v>81</v>
      </c>
      <c r="F14" t="s">
        <v>82</v>
      </c>
      <c r="H14">
        <v>2</v>
      </c>
      <c r="I14">
        <v>0</v>
      </c>
      <c r="J14">
        <v>71</v>
      </c>
      <c r="K14">
        <v>20</v>
      </c>
      <c r="L14">
        <v>22</v>
      </c>
      <c r="M14">
        <v>71</v>
      </c>
      <c r="N14">
        <v>75</v>
      </c>
      <c r="O14">
        <v>0</v>
      </c>
      <c r="P14">
        <v>171.43</v>
      </c>
      <c r="Q14">
        <v>200</v>
      </c>
      <c r="R14">
        <v>40</v>
      </c>
      <c r="S14">
        <v>200</v>
      </c>
      <c r="T14">
        <v>30</v>
      </c>
      <c r="U14">
        <v>195</v>
      </c>
      <c r="V14">
        <v>200</v>
      </c>
      <c r="W14">
        <v>200</v>
      </c>
      <c r="X14">
        <v>163</v>
      </c>
      <c r="Y14">
        <v>180</v>
      </c>
      <c r="Z14">
        <v>192</v>
      </c>
      <c r="AA14">
        <v>182</v>
      </c>
      <c r="AB14">
        <v>199</v>
      </c>
      <c r="AC14">
        <v>187</v>
      </c>
      <c r="AD14">
        <v>50</v>
      </c>
      <c r="AE14">
        <v>37.799999999999997</v>
      </c>
      <c r="AF14">
        <v>30</v>
      </c>
      <c r="AG14">
        <v>36.5</v>
      </c>
      <c r="AH14" t="s">
        <v>83</v>
      </c>
      <c r="AI14" t="s">
        <v>83</v>
      </c>
      <c r="AJ14" t="s">
        <v>83</v>
      </c>
      <c r="AK14">
        <v>41</v>
      </c>
      <c r="AL14">
        <v>30</v>
      </c>
      <c r="AM14">
        <v>79</v>
      </c>
      <c r="AP14">
        <v>5.5</v>
      </c>
      <c r="AQ14">
        <v>73.900000000000006</v>
      </c>
      <c r="AU14">
        <v>94.22</v>
      </c>
      <c r="AV14">
        <v>94.22</v>
      </c>
      <c r="AW14">
        <v>94.22</v>
      </c>
      <c r="AX14">
        <v>94.22</v>
      </c>
      <c r="AY14">
        <v>100.25</v>
      </c>
      <c r="AZ14">
        <v>100.25</v>
      </c>
      <c r="BA14">
        <v>100.25</v>
      </c>
      <c r="BB14">
        <v>100.25</v>
      </c>
      <c r="BC14">
        <v>38.58</v>
      </c>
      <c r="BD14">
        <v>38.58</v>
      </c>
      <c r="BE14">
        <v>38.58</v>
      </c>
      <c r="BF14">
        <v>38.58</v>
      </c>
      <c r="BG14">
        <v>41</v>
      </c>
      <c r="BH14">
        <v>41</v>
      </c>
      <c r="BI14">
        <v>41</v>
      </c>
      <c r="BJ14">
        <v>41</v>
      </c>
      <c r="BK14">
        <v>30</v>
      </c>
      <c r="BL14">
        <v>30</v>
      </c>
      <c r="BM14">
        <v>30</v>
      </c>
      <c r="BN14">
        <v>30</v>
      </c>
      <c r="BW14">
        <v>55.44</v>
      </c>
      <c r="BX14">
        <v>55.44</v>
      </c>
      <c r="BY14" s="11">
        <v>55.44</v>
      </c>
      <c r="BZ14">
        <v>55.44</v>
      </c>
      <c r="CA14" s="7" t="str">
        <f>VLOOKUP(BY14, $BZ$34:$CA$38, 2, TRUE)</f>
        <v>C</v>
      </c>
    </row>
    <row r="15" spans="1:80" x14ac:dyDescent="0.25">
      <c r="A15" t="s">
        <v>104</v>
      </c>
      <c r="B15">
        <v>172013</v>
      </c>
      <c r="C15" s="4" t="s">
        <v>105</v>
      </c>
      <c r="D15" s="4" t="s">
        <v>105</v>
      </c>
      <c r="E15" t="s">
        <v>81</v>
      </c>
      <c r="F15" t="s">
        <v>82</v>
      </c>
      <c r="H15">
        <v>2</v>
      </c>
      <c r="I15">
        <v>25</v>
      </c>
      <c r="J15">
        <v>69</v>
      </c>
      <c r="K15">
        <v>19</v>
      </c>
      <c r="L15">
        <v>24</v>
      </c>
      <c r="M15">
        <v>56</v>
      </c>
      <c r="N15">
        <v>75</v>
      </c>
      <c r="O15">
        <v>0</v>
      </c>
      <c r="P15">
        <v>0</v>
      </c>
      <c r="Q15">
        <v>200</v>
      </c>
      <c r="R15">
        <v>40</v>
      </c>
      <c r="S15">
        <v>200</v>
      </c>
      <c r="T15">
        <v>28</v>
      </c>
      <c r="U15">
        <v>200</v>
      </c>
      <c r="V15">
        <v>200</v>
      </c>
      <c r="W15">
        <v>191</v>
      </c>
      <c r="X15">
        <v>187</v>
      </c>
      <c r="Y15">
        <v>198</v>
      </c>
      <c r="Z15">
        <v>199</v>
      </c>
      <c r="AA15">
        <v>199</v>
      </c>
      <c r="AB15">
        <v>200</v>
      </c>
      <c r="AC15">
        <v>197</v>
      </c>
      <c r="AD15">
        <v>63.3</v>
      </c>
      <c r="AE15">
        <v>57.3</v>
      </c>
      <c r="AF15">
        <v>41.2</v>
      </c>
      <c r="AG15">
        <v>50</v>
      </c>
      <c r="AH15" t="s">
        <v>83</v>
      </c>
      <c r="AI15" t="s">
        <v>83</v>
      </c>
      <c r="AJ15" t="s">
        <v>83</v>
      </c>
      <c r="AK15">
        <v>32</v>
      </c>
      <c r="AL15">
        <v>50</v>
      </c>
      <c r="AM15">
        <v>98</v>
      </c>
      <c r="AN15">
        <v>0</v>
      </c>
      <c r="AQ15">
        <v>31.9</v>
      </c>
      <c r="AR15">
        <v>6.5</v>
      </c>
      <c r="AU15">
        <v>92.64</v>
      </c>
      <c r="AV15">
        <v>92.64</v>
      </c>
      <c r="AW15">
        <v>92.64</v>
      </c>
      <c r="AX15">
        <v>92.64</v>
      </c>
      <c r="AY15">
        <v>102.6</v>
      </c>
      <c r="AZ15">
        <v>102.6</v>
      </c>
      <c r="BA15">
        <v>102.6</v>
      </c>
      <c r="BB15">
        <v>102.6</v>
      </c>
      <c r="BC15">
        <v>52.95</v>
      </c>
      <c r="BD15">
        <v>52.95</v>
      </c>
      <c r="BE15">
        <v>52.95</v>
      </c>
      <c r="BF15">
        <v>52.95</v>
      </c>
      <c r="BG15">
        <v>32</v>
      </c>
      <c r="BH15">
        <v>32</v>
      </c>
      <c r="BI15">
        <v>32</v>
      </c>
      <c r="BJ15">
        <v>32</v>
      </c>
      <c r="BK15">
        <v>50</v>
      </c>
      <c r="BL15">
        <v>50</v>
      </c>
      <c r="BM15">
        <v>50</v>
      </c>
      <c r="BN15">
        <v>50</v>
      </c>
      <c r="BW15">
        <v>65.010000000000005</v>
      </c>
      <c r="BX15">
        <v>65.010000000000005</v>
      </c>
      <c r="BY15" s="11">
        <v>65.010000000000005</v>
      </c>
      <c r="BZ15">
        <v>65.010000000000005</v>
      </c>
      <c r="CA15" s="7" t="str">
        <f>VLOOKUP(BY15, $BZ$34:$CA$38, 2, TRUE)</f>
        <v>C</v>
      </c>
    </row>
    <row r="16" spans="1:80" x14ac:dyDescent="0.25">
      <c r="A16" t="s">
        <v>106</v>
      </c>
      <c r="B16">
        <v>354430</v>
      </c>
      <c r="C16" s="4" t="s">
        <v>107</v>
      </c>
      <c r="D16" s="4" t="s">
        <v>107</v>
      </c>
      <c r="E16" t="s">
        <v>81</v>
      </c>
      <c r="F16" t="s">
        <v>82</v>
      </c>
      <c r="H16">
        <v>2</v>
      </c>
      <c r="I16">
        <v>18</v>
      </c>
      <c r="J16">
        <v>75</v>
      </c>
      <c r="K16">
        <v>15</v>
      </c>
      <c r="L16">
        <v>19</v>
      </c>
      <c r="M16">
        <v>58</v>
      </c>
      <c r="N16">
        <v>69</v>
      </c>
      <c r="O16">
        <v>0</v>
      </c>
      <c r="P16">
        <v>0</v>
      </c>
      <c r="Q16">
        <v>200</v>
      </c>
      <c r="R16">
        <v>30</v>
      </c>
      <c r="S16">
        <v>150</v>
      </c>
      <c r="T16">
        <v>30</v>
      </c>
      <c r="U16">
        <v>165</v>
      </c>
      <c r="V16">
        <v>170</v>
      </c>
      <c r="W16">
        <v>177</v>
      </c>
      <c r="X16">
        <v>0</v>
      </c>
      <c r="Y16">
        <v>195</v>
      </c>
      <c r="Z16">
        <v>0</v>
      </c>
      <c r="AA16">
        <v>0</v>
      </c>
      <c r="AB16">
        <v>0</v>
      </c>
      <c r="AC16">
        <v>0</v>
      </c>
      <c r="AD16">
        <v>33.299999999999997</v>
      </c>
      <c r="AE16">
        <v>54.9</v>
      </c>
      <c r="AF16">
        <v>48.2</v>
      </c>
      <c r="AG16">
        <v>52.9</v>
      </c>
      <c r="AH16" t="s">
        <v>83</v>
      </c>
      <c r="AI16" t="s">
        <v>83</v>
      </c>
      <c r="AJ16" t="s">
        <v>83</v>
      </c>
      <c r="AK16">
        <v>57</v>
      </c>
      <c r="AL16">
        <v>32</v>
      </c>
      <c r="AM16">
        <v>78</v>
      </c>
      <c r="AU16">
        <v>87</v>
      </c>
      <c r="AV16">
        <v>87</v>
      </c>
      <c r="AW16">
        <v>87</v>
      </c>
      <c r="AX16">
        <v>87</v>
      </c>
      <c r="AY16">
        <v>55.85</v>
      </c>
      <c r="AZ16">
        <v>55.85</v>
      </c>
      <c r="BA16">
        <v>55.85</v>
      </c>
      <c r="BB16">
        <v>55.85</v>
      </c>
      <c r="BC16">
        <v>47.33</v>
      </c>
      <c r="BD16">
        <v>47.33</v>
      </c>
      <c r="BE16">
        <v>47.33</v>
      </c>
      <c r="BF16">
        <v>47.33</v>
      </c>
      <c r="BG16">
        <v>57</v>
      </c>
      <c r="BH16">
        <v>57</v>
      </c>
      <c r="BI16">
        <v>57</v>
      </c>
      <c r="BJ16">
        <v>57</v>
      </c>
      <c r="BK16">
        <v>32</v>
      </c>
      <c r="BL16">
        <v>32</v>
      </c>
      <c r="BM16">
        <v>32</v>
      </c>
      <c r="BN16">
        <v>32</v>
      </c>
      <c r="BW16">
        <v>53.51</v>
      </c>
      <c r="BX16">
        <v>53.51</v>
      </c>
      <c r="BY16" s="11">
        <v>53.51</v>
      </c>
      <c r="BZ16">
        <v>53.51</v>
      </c>
      <c r="CA16" s="7" t="str">
        <f>VLOOKUP(BY16, $BZ$34:$CA$38, 2, TRUE)</f>
        <v>D</v>
      </c>
    </row>
    <row r="17" spans="1:79" x14ac:dyDescent="0.25">
      <c r="A17" t="s">
        <v>108</v>
      </c>
      <c r="B17">
        <v>433708</v>
      </c>
      <c r="C17" s="3">
        <v>1047765</v>
      </c>
      <c r="D17" s="3">
        <v>1047765</v>
      </c>
      <c r="E17" t="s">
        <v>81</v>
      </c>
      <c r="F17" t="s">
        <v>82</v>
      </c>
      <c r="H17">
        <v>2</v>
      </c>
      <c r="I17">
        <v>0</v>
      </c>
      <c r="J17">
        <v>68</v>
      </c>
      <c r="K17">
        <v>11</v>
      </c>
      <c r="L17">
        <v>9</v>
      </c>
      <c r="M17">
        <v>26</v>
      </c>
      <c r="N17">
        <v>0</v>
      </c>
      <c r="O17">
        <v>0</v>
      </c>
      <c r="P17">
        <v>0</v>
      </c>
      <c r="Q17">
        <v>200</v>
      </c>
      <c r="R17">
        <v>20</v>
      </c>
      <c r="S17">
        <v>180</v>
      </c>
      <c r="T17">
        <v>28</v>
      </c>
      <c r="U17">
        <v>190</v>
      </c>
      <c r="V17">
        <v>200</v>
      </c>
      <c r="W17">
        <v>188</v>
      </c>
      <c r="X17">
        <v>187</v>
      </c>
      <c r="Y17">
        <v>198</v>
      </c>
      <c r="Z17">
        <v>200</v>
      </c>
      <c r="AA17">
        <v>199</v>
      </c>
      <c r="AB17">
        <v>184</v>
      </c>
      <c r="AC17">
        <v>197</v>
      </c>
      <c r="AD17">
        <v>23.3</v>
      </c>
      <c r="AE17">
        <v>46.3</v>
      </c>
      <c r="AF17">
        <v>30</v>
      </c>
      <c r="AG17">
        <v>31.8</v>
      </c>
      <c r="AH17" t="s">
        <v>83</v>
      </c>
      <c r="AI17" t="s">
        <v>83</v>
      </c>
      <c r="AJ17" t="s">
        <v>83</v>
      </c>
      <c r="AK17">
        <v>60</v>
      </c>
      <c r="AL17">
        <v>30</v>
      </c>
      <c r="AM17">
        <v>98</v>
      </c>
      <c r="AU17">
        <v>51.1</v>
      </c>
      <c r="AV17">
        <v>51.1</v>
      </c>
      <c r="AW17">
        <v>51.1</v>
      </c>
      <c r="AX17">
        <v>51.1</v>
      </c>
      <c r="AY17">
        <v>99.55</v>
      </c>
      <c r="AZ17">
        <v>99.55</v>
      </c>
      <c r="BA17">
        <v>99.55</v>
      </c>
      <c r="BB17">
        <v>99.55</v>
      </c>
      <c r="BC17">
        <v>32.85</v>
      </c>
      <c r="BD17">
        <v>32.85</v>
      </c>
      <c r="BE17">
        <v>32.85</v>
      </c>
      <c r="BF17">
        <v>32.85</v>
      </c>
      <c r="BG17">
        <v>60</v>
      </c>
      <c r="BH17">
        <v>60</v>
      </c>
      <c r="BI17">
        <v>60</v>
      </c>
      <c r="BJ17">
        <v>60</v>
      </c>
      <c r="BK17">
        <v>30</v>
      </c>
      <c r="BL17">
        <v>30</v>
      </c>
      <c r="BM17">
        <v>30</v>
      </c>
      <c r="BN17">
        <v>30</v>
      </c>
      <c r="BW17">
        <v>46.67</v>
      </c>
      <c r="BX17">
        <v>46.67</v>
      </c>
      <c r="BY17" s="11">
        <v>46.67</v>
      </c>
      <c r="BZ17">
        <v>46.67</v>
      </c>
      <c r="CA17" s="7" t="str">
        <f>VLOOKUP(BY17, $BZ$34:$CA$38, 2, TRUE)</f>
        <v>D</v>
      </c>
    </row>
    <row r="18" spans="1:79" x14ac:dyDescent="0.25">
      <c r="A18" t="s">
        <v>109</v>
      </c>
      <c r="B18">
        <v>389426</v>
      </c>
      <c r="C18" s="3">
        <v>1012960</v>
      </c>
      <c r="D18" s="3">
        <v>1012960</v>
      </c>
      <c r="E18" t="s">
        <v>81</v>
      </c>
      <c r="F18" t="s">
        <v>82</v>
      </c>
      <c r="H18">
        <v>2</v>
      </c>
      <c r="I18">
        <v>25</v>
      </c>
      <c r="J18">
        <v>70</v>
      </c>
      <c r="K18">
        <v>20</v>
      </c>
      <c r="L18">
        <v>19</v>
      </c>
      <c r="M18">
        <v>50</v>
      </c>
      <c r="N18">
        <v>0</v>
      </c>
      <c r="O18">
        <v>0</v>
      </c>
      <c r="P18">
        <v>0</v>
      </c>
      <c r="Q18">
        <v>200</v>
      </c>
      <c r="R18">
        <v>40</v>
      </c>
      <c r="S18">
        <v>200</v>
      </c>
      <c r="T18">
        <v>18</v>
      </c>
      <c r="U18">
        <v>185</v>
      </c>
      <c r="V18">
        <v>200</v>
      </c>
      <c r="W18">
        <v>192</v>
      </c>
      <c r="X18">
        <v>192</v>
      </c>
      <c r="Y18">
        <v>194</v>
      </c>
      <c r="Z18">
        <v>105</v>
      </c>
      <c r="AA18">
        <v>155</v>
      </c>
      <c r="AB18">
        <v>0</v>
      </c>
      <c r="AC18">
        <v>184</v>
      </c>
      <c r="AD18">
        <v>63.3</v>
      </c>
      <c r="AE18">
        <v>65.900000000000006</v>
      </c>
      <c r="AF18">
        <v>45.9</v>
      </c>
      <c r="AG18">
        <v>45.9</v>
      </c>
      <c r="AH18" t="s">
        <v>83</v>
      </c>
      <c r="AI18" t="s">
        <v>83</v>
      </c>
      <c r="AJ18" t="s">
        <v>83</v>
      </c>
      <c r="AK18">
        <v>59</v>
      </c>
      <c r="AL18">
        <v>34</v>
      </c>
      <c r="AM18">
        <v>85</v>
      </c>
      <c r="AN18">
        <v>0</v>
      </c>
      <c r="AU18">
        <v>81.94</v>
      </c>
      <c r="AV18">
        <v>81.94</v>
      </c>
      <c r="AW18">
        <v>81.94</v>
      </c>
      <c r="AX18">
        <v>81.94</v>
      </c>
      <c r="AY18">
        <v>93.25</v>
      </c>
      <c r="AZ18">
        <v>93.25</v>
      </c>
      <c r="BA18">
        <v>93.25</v>
      </c>
      <c r="BB18">
        <v>93.25</v>
      </c>
      <c r="BC18">
        <v>55.25</v>
      </c>
      <c r="BD18">
        <v>55.25</v>
      </c>
      <c r="BE18">
        <v>55.25</v>
      </c>
      <c r="BF18">
        <v>55.25</v>
      </c>
      <c r="BG18">
        <v>59</v>
      </c>
      <c r="BH18">
        <v>59</v>
      </c>
      <c r="BI18">
        <v>59</v>
      </c>
      <c r="BJ18">
        <v>59</v>
      </c>
      <c r="BK18">
        <v>34</v>
      </c>
      <c r="BL18">
        <v>34</v>
      </c>
      <c r="BM18">
        <v>34</v>
      </c>
      <c r="BN18">
        <v>34</v>
      </c>
      <c r="BW18">
        <v>63.02</v>
      </c>
      <c r="BX18">
        <v>63.02</v>
      </c>
      <c r="BY18" s="11">
        <v>63.02</v>
      </c>
      <c r="BZ18">
        <v>63.02</v>
      </c>
      <c r="CA18" s="7" t="str">
        <f>VLOOKUP(BY18, $BZ$34:$CA$38, 2, TRUE)</f>
        <v>C</v>
      </c>
    </row>
    <row r="19" spans="1:79" x14ac:dyDescent="0.25">
      <c r="A19" t="s">
        <v>110</v>
      </c>
      <c r="B19">
        <v>421605</v>
      </c>
      <c r="C19" s="3">
        <v>1039827</v>
      </c>
      <c r="D19" s="3">
        <v>1039827</v>
      </c>
      <c r="E19" t="s">
        <v>81</v>
      </c>
      <c r="F19" t="s">
        <v>82</v>
      </c>
      <c r="H19">
        <v>2</v>
      </c>
      <c r="I19">
        <v>25</v>
      </c>
      <c r="J19">
        <v>79</v>
      </c>
      <c r="K19">
        <v>24</v>
      </c>
      <c r="L19">
        <v>25</v>
      </c>
      <c r="M19">
        <v>62</v>
      </c>
      <c r="N19">
        <v>75</v>
      </c>
      <c r="O19">
        <v>200</v>
      </c>
      <c r="P19">
        <v>190.48</v>
      </c>
      <c r="Q19">
        <v>200</v>
      </c>
      <c r="R19">
        <v>40</v>
      </c>
      <c r="S19">
        <v>160</v>
      </c>
      <c r="T19">
        <v>30</v>
      </c>
      <c r="U19">
        <v>185</v>
      </c>
      <c r="V19">
        <v>200</v>
      </c>
      <c r="W19">
        <v>198</v>
      </c>
      <c r="X19">
        <v>200</v>
      </c>
      <c r="Y19">
        <v>199</v>
      </c>
      <c r="Z19">
        <v>200</v>
      </c>
      <c r="AA19">
        <v>199</v>
      </c>
      <c r="AB19">
        <v>200</v>
      </c>
      <c r="AC19">
        <v>199</v>
      </c>
      <c r="AD19">
        <v>73.3</v>
      </c>
      <c r="AE19">
        <v>78</v>
      </c>
      <c r="AF19">
        <v>78.8</v>
      </c>
      <c r="AG19">
        <v>58.8</v>
      </c>
      <c r="AH19" t="s">
        <v>83</v>
      </c>
      <c r="AI19" t="s">
        <v>83</v>
      </c>
      <c r="AJ19" t="s">
        <v>83</v>
      </c>
      <c r="AK19">
        <v>78</v>
      </c>
      <c r="AL19">
        <v>40</v>
      </c>
      <c r="AM19">
        <v>93</v>
      </c>
      <c r="AN19">
        <v>0</v>
      </c>
      <c r="AR19">
        <v>10</v>
      </c>
      <c r="AU19">
        <v>99.57</v>
      </c>
      <c r="AV19">
        <v>99.57</v>
      </c>
      <c r="AW19">
        <v>99.57</v>
      </c>
      <c r="AX19">
        <v>99.57</v>
      </c>
      <c r="AY19">
        <v>102.5</v>
      </c>
      <c r="AZ19">
        <v>102.5</v>
      </c>
      <c r="BA19">
        <v>102.5</v>
      </c>
      <c r="BB19">
        <v>102.5</v>
      </c>
      <c r="BC19">
        <v>72.23</v>
      </c>
      <c r="BD19">
        <v>72.23</v>
      </c>
      <c r="BE19">
        <v>72.23</v>
      </c>
      <c r="BF19">
        <v>72.23</v>
      </c>
      <c r="BG19">
        <v>78</v>
      </c>
      <c r="BH19">
        <v>78</v>
      </c>
      <c r="BI19">
        <v>78</v>
      </c>
      <c r="BJ19">
        <v>78</v>
      </c>
      <c r="BK19">
        <v>40</v>
      </c>
      <c r="BL19">
        <v>40</v>
      </c>
      <c r="BM19">
        <v>40</v>
      </c>
      <c r="BN19">
        <v>40</v>
      </c>
      <c r="BW19">
        <v>77.930000000000007</v>
      </c>
      <c r="BX19">
        <v>77.930000000000007</v>
      </c>
      <c r="BY19" s="11">
        <v>77.930000000000007</v>
      </c>
      <c r="BZ19">
        <v>77.930000000000007</v>
      </c>
      <c r="CA19" s="7" t="str">
        <f>VLOOKUP(BY19, $BZ$34:$CA$38, 2, TRUE)</f>
        <v>A</v>
      </c>
    </row>
    <row r="20" spans="1:79" x14ac:dyDescent="0.25">
      <c r="A20" t="s">
        <v>111</v>
      </c>
      <c r="B20">
        <v>416407</v>
      </c>
      <c r="C20" s="3">
        <v>1035199</v>
      </c>
      <c r="D20" s="3">
        <v>1035199</v>
      </c>
      <c r="E20" t="s">
        <v>81</v>
      </c>
      <c r="F20" t="s">
        <v>82</v>
      </c>
      <c r="H20">
        <v>2</v>
      </c>
      <c r="I20">
        <v>25</v>
      </c>
      <c r="J20">
        <v>76</v>
      </c>
      <c r="K20">
        <v>18</v>
      </c>
      <c r="L20">
        <v>24</v>
      </c>
      <c r="M20">
        <v>62</v>
      </c>
      <c r="N20">
        <v>72</v>
      </c>
      <c r="O20">
        <v>180.7</v>
      </c>
      <c r="P20">
        <v>190.48</v>
      </c>
      <c r="Q20">
        <v>200</v>
      </c>
      <c r="R20">
        <v>40</v>
      </c>
      <c r="S20">
        <v>188</v>
      </c>
      <c r="T20">
        <v>21</v>
      </c>
      <c r="U20">
        <v>185</v>
      </c>
      <c r="V20">
        <v>200</v>
      </c>
      <c r="W20">
        <v>185</v>
      </c>
      <c r="X20">
        <v>192</v>
      </c>
      <c r="Y20">
        <v>195</v>
      </c>
      <c r="Z20">
        <v>200</v>
      </c>
      <c r="AA20">
        <v>198</v>
      </c>
      <c r="AB20">
        <v>200</v>
      </c>
      <c r="AC20">
        <v>199</v>
      </c>
      <c r="AD20">
        <v>50</v>
      </c>
      <c r="AE20">
        <v>57.3</v>
      </c>
      <c r="AF20">
        <v>50.6</v>
      </c>
      <c r="AG20">
        <v>38.799999999999997</v>
      </c>
      <c r="AH20" t="s">
        <v>83</v>
      </c>
      <c r="AI20" t="s">
        <v>83</v>
      </c>
      <c r="AJ20" t="s">
        <v>83</v>
      </c>
      <c r="AK20">
        <v>71</v>
      </c>
      <c r="AL20">
        <v>36</v>
      </c>
      <c r="AM20">
        <v>93</v>
      </c>
      <c r="AN20">
        <v>0</v>
      </c>
      <c r="AQ20">
        <v>57.2</v>
      </c>
      <c r="AU20">
        <v>94.22</v>
      </c>
      <c r="AV20">
        <v>94.22</v>
      </c>
      <c r="AW20">
        <v>94.22</v>
      </c>
      <c r="AX20">
        <v>94.22</v>
      </c>
      <c r="AY20">
        <v>100.9</v>
      </c>
      <c r="AZ20">
        <v>100.9</v>
      </c>
      <c r="BA20">
        <v>100.9</v>
      </c>
      <c r="BB20">
        <v>100.9</v>
      </c>
      <c r="BC20">
        <v>49.18</v>
      </c>
      <c r="BD20">
        <v>49.18</v>
      </c>
      <c r="BE20">
        <v>49.18</v>
      </c>
      <c r="BF20">
        <v>49.18</v>
      </c>
      <c r="BG20">
        <v>71</v>
      </c>
      <c r="BH20">
        <v>71</v>
      </c>
      <c r="BI20">
        <v>71</v>
      </c>
      <c r="BJ20">
        <v>71</v>
      </c>
      <c r="BK20">
        <v>36</v>
      </c>
      <c r="BL20">
        <v>36</v>
      </c>
      <c r="BM20">
        <v>36</v>
      </c>
      <c r="BN20">
        <v>36</v>
      </c>
      <c r="BW20">
        <v>63.46</v>
      </c>
      <c r="BX20">
        <v>63.46</v>
      </c>
      <c r="BY20" s="11">
        <v>63.46</v>
      </c>
      <c r="BZ20">
        <v>63.46</v>
      </c>
      <c r="CA20" s="7" t="str">
        <f>VLOOKUP(BY20, $BZ$34:$CA$38, 2, TRUE)</f>
        <v>C</v>
      </c>
    </row>
    <row r="21" spans="1:79" x14ac:dyDescent="0.25">
      <c r="A21" t="s">
        <v>112</v>
      </c>
      <c r="B21">
        <v>228768</v>
      </c>
      <c r="C21" s="4" t="s">
        <v>113</v>
      </c>
      <c r="D21" s="4" t="s">
        <v>113</v>
      </c>
      <c r="E21" t="s">
        <v>81</v>
      </c>
      <c r="F21" t="s">
        <v>82</v>
      </c>
      <c r="H21">
        <v>2</v>
      </c>
      <c r="I21">
        <v>25</v>
      </c>
      <c r="J21">
        <v>79</v>
      </c>
      <c r="K21">
        <v>23</v>
      </c>
      <c r="L21">
        <v>25</v>
      </c>
      <c r="M21">
        <v>71</v>
      </c>
      <c r="N21">
        <v>75</v>
      </c>
      <c r="O21">
        <v>192.98</v>
      </c>
      <c r="P21">
        <v>0</v>
      </c>
      <c r="Q21">
        <v>200</v>
      </c>
      <c r="R21">
        <v>40</v>
      </c>
      <c r="S21">
        <v>140</v>
      </c>
      <c r="T21">
        <v>30</v>
      </c>
      <c r="U21">
        <v>200</v>
      </c>
      <c r="V21">
        <v>200</v>
      </c>
      <c r="W21">
        <v>190</v>
      </c>
      <c r="X21">
        <v>199</v>
      </c>
      <c r="Y21">
        <v>199</v>
      </c>
      <c r="Z21">
        <v>200</v>
      </c>
      <c r="AA21">
        <v>199</v>
      </c>
      <c r="AB21">
        <v>200</v>
      </c>
      <c r="AC21">
        <v>199</v>
      </c>
      <c r="AD21">
        <v>46.7</v>
      </c>
      <c r="AE21">
        <v>72</v>
      </c>
      <c r="AF21">
        <v>67.099999999999994</v>
      </c>
      <c r="AG21">
        <v>69.400000000000006</v>
      </c>
      <c r="AH21" t="s">
        <v>83</v>
      </c>
      <c r="AI21" t="s">
        <v>83</v>
      </c>
      <c r="AJ21" t="s">
        <v>86</v>
      </c>
      <c r="AK21">
        <v>72</v>
      </c>
      <c r="AL21">
        <v>34</v>
      </c>
      <c r="AM21">
        <v>90</v>
      </c>
      <c r="AQ21">
        <v>81.099999999999994</v>
      </c>
      <c r="AS21">
        <v>0</v>
      </c>
      <c r="AU21">
        <v>100</v>
      </c>
      <c r="AV21">
        <v>100</v>
      </c>
      <c r="AW21">
        <v>100</v>
      </c>
      <c r="AX21">
        <v>100</v>
      </c>
      <c r="AY21">
        <v>102.8</v>
      </c>
      <c r="AZ21">
        <v>102.8</v>
      </c>
      <c r="BA21">
        <v>102.8</v>
      </c>
      <c r="BB21">
        <v>102.8</v>
      </c>
      <c r="BC21">
        <v>63.8</v>
      </c>
      <c r="BD21">
        <v>63.8</v>
      </c>
      <c r="BE21">
        <v>63.8</v>
      </c>
      <c r="BF21">
        <v>63.8</v>
      </c>
      <c r="BG21">
        <v>72</v>
      </c>
      <c r="BH21">
        <v>72</v>
      </c>
      <c r="BI21">
        <v>72</v>
      </c>
      <c r="BJ21">
        <v>72</v>
      </c>
      <c r="BK21">
        <v>34</v>
      </c>
      <c r="BL21">
        <v>34</v>
      </c>
      <c r="BM21">
        <v>34</v>
      </c>
      <c r="BN21">
        <v>34</v>
      </c>
      <c r="BW21">
        <v>72.510000000000005</v>
      </c>
      <c r="BX21">
        <v>72.510000000000005</v>
      </c>
      <c r="BY21" s="11">
        <v>72.510000000000005</v>
      </c>
      <c r="BZ21">
        <v>72.510000000000005</v>
      </c>
      <c r="CA21" s="7" t="str">
        <f>VLOOKUP(BY21, $BZ$34:$CA$38, 2, TRUE)</f>
        <v>B</v>
      </c>
    </row>
    <row r="22" spans="1:79" x14ac:dyDescent="0.25">
      <c r="A22" t="s">
        <v>114</v>
      </c>
      <c r="B22">
        <v>8777</v>
      </c>
      <c r="C22" s="4" t="s">
        <v>115</v>
      </c>
      <c r="D22" s="4" t="s">
        <v>115</v>
      </c>
      <c r="E22" t="s">
        <v>81</v>
      </c>
      <c r="F22" t="s">
        <v>82</v>
      </c>
      <c r="H22">
        <v>2</v>
      </c>
      <c r="I22">
        <v>25</v>
      </c>
      <c r="J22">
        <v>73</v>
      </c>
      <c r="K22">
        <v>20</v>
      </c>
      <c r="L22">
        <v>22</v>
      </c>
      <c r="M22">
        <v>62</v>
      </c>
      <c r="N22">
        <v>74</v>
      </c>
      <c r="O22">
        <v>0</v>
      </c>
      <c r="P22">
        <v>157.13999999999999</v>
      </c>
      <c r="Q22">
        <v>200</v>
      </c>
      <c r="R22">
        <v>40</v>
      </c>
      <c r="S22">
        <v>188</v>
      </c>
      <c r="T22">
        <v>30</v>
      </c>
      <c r="U22">
        <v>180</v>
      </c>
      <c r="V22">
        <v>185</v>
      </c>
      <c r="W22">
        <v>191</v>
      </c>
      <c r="X22">
        <v>185</v>
      </c>
      <c r="Y22">
        <v>199</v>
      </c>
      <c r="Z22">
        <v>195</v>
      </c>
      <c r="AA22">
        <v>200</v>
      </c>
      <c r="AB22">
        <v>200</v>
      </c>
      <c r="AC22">
        <v>188</v>
      </c>
      <c r="AD22" t="s">
        <v>86</v>
      </c>
      <c r="AE22">
        <v>72</v>
      </c>
      <c r="AF22">
        <v>62.4</v>
      </c>
      <c r="AG22">
        <v>65.900000000000006</v>
      </c>
      <c r="AH22">
        <v>79.7</v>
      </c>
      <c r="AI22" t="s">
        <v>83</v>
      </c>
      <c r="AJ22" t="s">
        <v>83</v>
      </c>
      <c r="AK22">
        <v>54</v>
      </c>
      <c r="AL22">
        <v>42</v>
      </c>
      <c r="AM22">
        <v>94</v>
      </c>
      <c r="AN22">
        <v>0</v>
      </c>
      <c r="AQ22">
        <v>62</v>
      </c>
      <c r="AS22">
        <v>0</v>
      </c>
      <c r="AU22">
        <v>93.51</v>
      </c>
      <c r="AV22">
        <v>93.51</v>
      </c>
      <c r="AW22">
        <v>93.51</v>
      </c>
      <c r="AX22">
        <v>93.51</v>
      </c>
      <c r="AY22">
        <v>100.05</v>
      </c>
      <c r="AZ22">
        <v>100.05</v>
      </c>
      <c r="BA22">
        <v>100.05</v>
      </c>
      <c r="BB22">
        <v>100.05</v>
      </c>
      <c r="BC22">
        <v>70</v>
      </c>
      <c r="BD22">
        <v>70</v>
      </c>
      <c r="BE22">
        <v>70</v>
      </c>
      <c r="BF22">
        <v>70</v>
      </c>
      <c r="BG22">
        <v>54</v>
      </c>
      <c r="BH22">
        <v>54</v>
      </c>
      <c r="BI22">
        <v>54</v>
      </c>
      <c r="BJ22">
        <v>54</v>
      </c>
      <c r="BK22">
        <v>42</v>
      </c>
      <c r="BL22">
        <v>42</v>
      </c>
      <c r="BM22">
        <v>42</v>
      </c>
      <c r="BN22">
        <v>42</v>
      </c>
      <c r="BW22">
        <v>74.430000000000007</v>
      </c>
      <c r="BX22">
        <v>74.430000000000007</v>
      </c>
      <c r="BY22" s="11">
        <v>74.430000000000007</v>
      </c>
      <c r="BZ22">
        <v>74.430000000000007</v>
      </c>
      <c r="CA22" s="7" t="str">
        <f>VLOOKUP(BY22, $BZ$34:$CA$38, 2, TRUE)</f>
        <v>B</v>
      </c>
    </row>
    <row r="23" spans="1:79" x14ac:dyDescent="0.25">
      <c r="A23" t="s">
        <v>116</v>
      </c>
      <c r="B23">
        <v>323890</v>
      </c>
      <c r="C23" s="4" t="s">
        <v>117</v>
      </c>
      <c r="D23" s="4" t="s">
        <v>117</v>
      </c>
      <c r="E23" t="s">
        <v>81</v>
      </c>
      <c r="F23" t="s">
        <v>82</v>
      </c>
      <c r="H23">
        <v>2</v>
      </c>
      <c r="I23">
        <v>25</v>
      </c>
      <c r="J23">
        <v>73</v>
      </c>
      <c r="K23">
        <v>24</v>
      </c>
      <c r="L23">
        <v>25</v>
      </c>
      <c r="M23">
        <v>64</v>
      </c>
      <c r="N23">
        <v>75</v>
      </c>
      <c r="O23">
        <v>200</v>
      </c>
      <c r="P23">
        <v>0</v>
      </c>
      <c r="Q23">
        <v>200</v>
      </c>
      <c r="R23">
        <v>40</v>
      </c>
      <c r="S23">
        <v>120</v>
      </c>
      <c r="T23">
        <v>28</v>
      </c>
      <c r="U23">
        <v>180</v>
      </c>
      <c r="V23">
        <v>195</v>
      </c>
      <c r="W23">
        <v>170</v>
      </c>
      <c r="X23">
        <v>189</v>
      </c>
      <c r="Y23">
        <v>195</v>
      </c>
      <c r="Z23">
        <v>195</v>
      </c>
      <c r="AA23">
        <v>171</v>
      </c>
      <c r="AB23">
        <v>193</v>
      </c>
      <c r="AC23">
        <v>199</v>
      </c>
      <c r="AD23">
        <v>46.7</v>
      </c>
      <c r="AE23">
        <v>78</v>
      </c>
      <c r="AF23">
        <v>83.5</v>
      </c>
      <c r="AG23">
        <v>90.6</v>
      </c>
      <c r="AH23" t="s">
        <v>83</v>
      </c>
      <c r="AI23" t="s">
        <v>83</v>
      </c>
      <c r="AJ23" t="s">
        <v>83</v>
      </c>
      <c r="AK23">
        <v>60</v>
      </c>
      <c r="AL23">
        <v>78</v>
      </c>
      <c r="AM23">
        <v>90</v>
      </c>
      <c r="AU23">
        <v>96.97</v>
      </c>
      <c r="AV23">
        <v>96.97</v>
      </c>
      <c r="AW23">
        <v>96.97</v>
      </c>
      <c r="AX23">
        <v>96.97</v>
      </c>
      <c r="AY23">
        <v>97.75</v>
      </c>
      <c r="AZ23">
        <v>97.75</v>
      </c>
      <c r="BA23">
        <v>97.75</v>
      </c>
      <c r="BB23">
        <v>97.75</v>
      </c>
      <c r="BC23">
        <v>74.7</v>
      </c>
      <c r="BD23">
        <v>74.7</v>
      </c>
      <c r="BE23">
        <v>74.7</v>
      </c>
      <c r="BF23">
        <v>74.7</v>
      </c>
      <c r="BG23">
        <v>60</v>
      </c>
      <c r="BH23">
        <v>60</v>
      </c>
      <c r="BI23">
        <v>60</v>
      </c>
      <c r="BJ23">
        <v>60</v>
      </c>
      <c r="BK23">
        <v>78</v>
      </c>
      <c r="BL23">
        <v>78</v>
      </c>
      <c r="BM23">
        <v>78</v>
      </c>
      <c r="BN23">
        <v>78</v>
      </c>
      <c r="BW23">
        <v>81.09</v>
      </c>
      <c r="BX23">
        <v>81.09</v>
      </c>
      <c r="BY23" s="11">
        <v>81.09</v>
      </c>
      <c r="BZ23">
        <v>81.09</v>
      </c>
      <c r="CA23" s="7" t="str">
        <f>VLOOKUP(BY23, $BZ$34:$CA$38, 2, TRUE)</f>
        <v>A</v>
      </c>
    </row>
    <row r="24" spans="1:79" x14ac:dyDescent="0.25">
      <c r="A24" t="s">
        <v>118</v>
      </c>
      <c r="B24">
        <v>399807</v>
      </c>
      <c r="C24" s="3">
        <v>1022282</v>
      </c>
      <c r="D24" s="3">
        <v>1022282</v>
      </c>
      <c r="E24" t="s">
        <v>81</v>
      </c>
      <c r="F24" t="s">
        <v>82</v>
      </c>
      <c r="H24">
        <v>2</v>
      </c>
      <c r="I24">
        <v>0</v>
      </c>
      <c r="J24">
        <v>0</v>
      </c>
      <c r="K24">
        <v>23</v>
      </c>
      <c r="L24">
        <v>0</v>
      </c>
      <c r="M24">
        <v>0</v>
      </c>
      <c r="N24">
        <v>0</v>
      </c>
      <c r="O24">
        <v>0</v>
      </c>
      <c r="P24">
        <v>0</v>
      </c>
      <c r="Q24">
        <v>200</v>
      </c>
      <c r="S24">
        <v>188</v>
      </c>
      <c r="U24">
        <v>165</v>
      </c>
      <c r="V24">
        <v>200</v>
      </c>
      <c r="W24">
        <v>165</v>
      </c>
      <c r="X24">
        <v>192</v>
      </c>
      <c r="Y24">
        <v>195</v>
      </c>
      <c r="Z24">
        <v>190</v>
      </c>
      <c r="AA24">
        <v>195</v>
      </c>
      <c r="AB24">
        <v>200</v>
      </c>
      <c r="AC24">
        <v>189</v>
      </c>
      <c r="AD24">
        <v>60</v>
      </c>
      <c r="AE24">
        <v>38</v>
      </c>
      <c r="AF24">
        <v>47.1</v>
      </c>
      <c r="AG24">
        <v>38.799999999999997</v>
      </c>
      <c r="AH24" t="s">
        <v>83</v>
      </c>
      <c r="AI24" t="s">
        <v>83</v>
      </c>
      <c r="AJ24" t="s">
        <v>83</v>
      </c>
      <c r="AK24">
        <v>47</v>
      </c>
      <c r="AL24">
        <v>38</v>
      </c>
      <c r="AM24">
        <v>80</v>
      </c>
      <c r="AU24">
        <v>11.21</v>
      </c>
      <c r="AV24">
        <v>11.21</v>
      </c>
      <c r="AW24">
        <v>11.21</v>
      </c>
      <c r="AX24">
        <v>11.21</v>
      </c>
      <c r="AY24">
        <v>95.7</v>
      </c>
      <c r="AZ24">
        <v>95.7</v>
      </c>
      <c r="BA24">
        <v>95.7</v>
      </c>
      <c r="BB24">
        <v>95.7</v>
      </c>
      <c r="BC24">
        <v>45.98</v>
      </c>
      <c r="BD24">
        <v>45.98</v>
      </c>
      <c r="BE24">
        <v>45.98</v>
      </c>
      <c r="BF24">
        <v>45.98</v>
      </c>
      <c r="BG24">
        <v>47</v>
      </c>
      <c r="BH24">
        <v>47</v>
      </c>
      <c r="BI24">
        <v>47</v>
      </c>
      <c r="BJ24">
        <v>47</v>
      </c>
      <c r="BK24">
        <v>38</v>
      </c>
      <c r="BL24">
        <v>38</v>
      </c>
      <c r="BM24">
        <v>38</v>
      </c>
      <c r="BN24">
        <v>38</v>
      </c>
      <c r="BW24">
        <v>47.47</v>
      </c>
      <c r="BX24">
        <v>47.47</v>
      </c>
      <c r="BY24" s="11">
        <v>47.47</v>
      </c>
      <c r="BZ24">
        <v>47.47</v>
      </c>
      <c r="CA24" s="7" t="str">
        <f>VLOOKUP(BY24, $BZ$34:$CA$38, 2, TRUE)</f>
        <v>D</v>
      </c>
    </row>
    <row r="25" spans="1:79" x14ac:dyDescent="0.25">
      <c r="A25" t="s">
        <v>119</v>
      </c>
      <c r="B25">
        <v>266425</v>
      </c>
      <c r="C25" s="4" t="s">
        <v>120</v>
      </c>
      <c r="D25" s="4" t="s">
        <v>120</v>
      </c>
      <c r="E25" t="s">
        <v>81</v>
      </c>
      <c r="F25" t="s">
        <v>82</v>
      </c>
      <c r="H25">
        <v>2</v>
      </c>
      <c r="I25">
        <v>25</v>
      </c>
      <c r="J25">
        <v>60</v>
      </c>
      <c r="K25">
        <v>20</v>
      </c>
      <c r="L25">
        <v>24</v>
      </c>
      <c r="M25">
        <v>65</v>
      </c>
      <c r="N25">
        <v>75</v>
      </c>
      <c r="O25">
        <v>0</v>
      </c>
      <c r="P25">
        <v>0</v>
      </c>
      <c r="Q25">
        <v>200</v>
      </c>
      <c r="R25">
        <v>40</v>
      </c>
      <c r="S25">
        <v>195</v>
      </c>
      <c r="T25">
        <v>28</v>
      </c>
      <c r="U25">
        <v>200</v>
      </c>
      <c r="V25">
        <v>200</v>
      </c>
      <c r="W25">
        <v>190</v>
      </c>
      <c r="X25">
        <v>190</v>
      </c>
      <c r="Y25">
        <v>199</v>
      </c>
      <c r="Z25">
        <v>198</v>
      </c>
      <c r="AA25">
        <v>198</v>
      </c>
      <c r="AB25">
        <v>200</v>
      </c>
      <c r="AC25">
        <v>190</v>
      </c>
      <c r="AD25">
        <v>43.3</v>
      </c>
      <c r="AE25">
        <v>58.5</v>
      </c>
      <c r="AF25">
        <v>51.8</v>
      </c>
      <c r="AG25">
        <v>81.2</v>
      </c>
      <c r="AH25" t="s">
        <v>83</v>
      </c>
      <c r="AI25" t="s">
        <v>83</v>
      </c>
      <c r="AJ25" t="s">
        <v>86</v>
      </c>
      <c r="AK25">
        <v>50</v>
      </c>
      <c r="AL25">
        <v>28</v>
      </c>
      <c r="AM25">
        <v>95</v>
      </c>
      <c r="AQ25">
        <v>12.4</v>
      </c>
      <c r="AR25">
        <v>6.5</v>
      </c>
      <c r="AU25">
        <v>94.62</v>
      </c>
      <c r="AV25">
        <v>94.62</v>
      </c>
      <c r="AW25">
        <v>94.62</v>
      </c>
      <c r="AX25">
        <v>94.62</v>
      </c>
      <c r="AY25">
        <v>101.9</v>
      </c>
      <c r="AZ25">
        <v>101.9</v>
      </c>
      <c r="BA25">
        <v>101.9</v>
      </c>
      <c r="BB25">
        <v>101.9</v>
      </c>
      <c r="BC25">
        <v>58.7</v>
      </c>
      <c r="BD25">
        <v>58.7</v>
      </c>
      <c r="BE25">
        <v>58.7</v>
      </c>
      <c r="BF25">
        <v>58.7</v>
      </c>
      <c r="BG25">
        <v>50</v>
      </c>
      <c r="BH25">
        <v>50</v>
      </c>
      <c r="BI25">
        <v>50</v>
      </c>
      <c r="BJ25">
        <v>50</v>
      </c>
      <c r="BK25">
        <v>28</v>
      </c>
      <c r="BL25">
        <v>28</v>
      </c>
      <c r="BM25">
        <v>28</v>
      </c>
      <c r="BN25">
        <v>28</v>
      </c>
      <c r="BW25">
        <v>67.06</v>
      </c>
      <c r="BX25">
        <v>67.06</v>
      </c>
      <c r="BY25" s="11">
        <v>67.06</v>
      </c>
      <c r="BZ25">
        <v>67.06</v>
      </c>
      <c r="CA25" s="7" t="str">
        <f>VLOOKUP(BY25, $BZ$34:$CA$38, 2, TRUE)</f>
        <v>B</v>
      </c>
    </row>
    <row r="26" spans="1:79" x14ac:dyDescent="0.25">
      <c r="A26" t="s">
        <v>121</v>
      </c>
      <c r="B26">
        <v>223588</v>
      </c>
      <c r="C26" s="4" t="s">
        <v>122</v>
      </c>
      <c r="D26" s="4" t="s">
        <v>122</v>
      </c>
      <c r="E26" t="s">
        <v>81</v>
      </c>
      <c r="F26" t="s">
        <v>82</v>
      </c>
      <c r="H26">
        <v>2</v>
      </c>
      <c r="I26">
        <v>25</v>
      </c>
      <c r="J26">
        <v>71</v>
      </c>
      <c r="K26">
        <v>16</v>
      </c>
      <c r="L26">
        <v>20</v>
      </c>
      <c r="M26">
        <v>61</v>
      </c>
      <c r="N26">
        <v>65</v>
      </c>
      <c r="O26">
        <v>0</v>
      </c>
      <c r="P26">
        <v>0</v>
      </c>
      <c r="Q26">
        <v>200</v>
      </c>
      <c r="R26">
        <v>40</v>
      </c>
      <c r="S26">
        <v>0</v>
      </c>
      <c r="T26">
        <v>30</v>
      </c>
      <c r="U26">
        <v>185</v>
      </c>
      <c r="V26">
        <v>200</v>
      </c>
      <c r="W26">
        <v>190</v>
      </c>
      <c r="X26">
        <v>200</v>
      </c>
      <c r="Y26">
        <v>193</v>
      </c>
      <c r="Z26">
        <v>184</v>
      </c>
      <c r="AA26">
        <v>198</v>
      </c>
      <c r="AB26">
        <v>195</v>
      </c>
      <c r="AC26">
        <v>199</v>
      </c>
      <c r="AD26">
        <v>40</v>
      </c>
      <c r="AE26" t="s">
        <v>86</v>
      </c>
      <c r="AF26">
        <v>60</v>
      </c>
      <c r="AG26">
        <v>48.2</v>
      </c>
      <c r="AH26" t="s">
        <v>83</v>
      </c>
      <c r="AI26">
        <v>54.1</v>
      </c>
      <c r="AJ26" t="s">
        <v>83</v>
      </c>
      <c r="AK26">
        <v>42</v>
      </c>
      <c r="AL26">
        <v>22</v>
      </c>
      <c r="AM26">
        <v>90</v>
      </c>
      <c r="AQ26">
        <v>18.100000000000001</v>
      </c>
      <c r="AS26">
        <v>0</v>
      </c>
      <c r="AT26">
        <v>0</v>
      </c>
      <c r="AU26">
        <v>88.09</v>
      </c>
      <c r="AV26">
        <v>88.09</v>
      </c>
      <c r="AW26">
        <v>88.09</v>
      </c>
      <c r="AX26">
        <v>88.09</v>
      </c>
      <c r="AY26">
        <v>100.7</v>
      </c>
      <c r="AZ26">
        <v>100.7</v>
      </c>
      <c r="BA26">
        <v>100.7</v>
      </c>
      <c r="BB26">
        <v>100.7</v>
      </c>
      <c r="BC26">
        <v>50.58</v>
      </c>
      <c r="BD26">
        <v>50.58</v>
      </c>
      <c r="BE26">
        <v>50.58</v>
      </c>
      <c r="BF26">
        <v>50.58</v>
      </c>
      <c r="BG26">
        <v>42</v>
      </c>
      <c r="BH26">
        <v>42</v>
      </c>
      <c r="BI26">
        <v>42</v>
      </c>
      <c r="BJ26">
        <v>42</v>
      </c>
      <c r="BK26">
        <v>22</v>
      </c>
      <c r="BL26">
        <v>22</v>
      </c>
      <c r="BM26">
        <v>22</v>
      </c>
      <c r="BN26">
        <v>22</v>
      </c>
      <c r="BW26">
        <v>60.43</v>
      </c>
      <c r="BX26">
        <v>60.43</v>
      </c>
      <c r="BY26" s="11">
        <v>60.43</v>
      </c>
      <c r="BZ26">
        <v>60.43</v>
      </c>
      <c r="CA26" s="7" t="str">
        <f>VLOOKUP(BY26, $BZ$34:$CA$38, 2, TRUE)</f>
        <v>C</v>
      </c>
    </row>
    <row r="27" spans="1:79" x14ac:dyDescent="0.25">
      <c r="A27" t="s">
        <v>123</v>
      </c>
      <c r="B27">
        <v>457684</v>
      </c>
      <c r="C27" s="3">
        <v>1068669</v>
      </c>
      <c r="D27" s="3">
        <v>1068669</v>
      </c>
      <c r="E27" t="s">
        <v>81</v>
      </c>
      <c r="F27" t="s">
        <v>82</v>
      </c>
      <c r="H27">
        <v>2</v>
      </c>
      <c r="I27">
        <v>25</v>
      </c>
      <c r="J27">
        <v>79</v>
      </c>
      <c r="K27">
        <v>21</v>
      </c>
      <c r="L27">
        <v>21</v>
      </c>
      <c r="M27">
        <v>59</v>
      </c>
      <c r="N27">
        <v>75</v>
      </c>
      <c r="O27">
        <v>180.7</v>
      </c>
      <c r="P27">
        <v>180.95</v>
      </c>
      <c r="Q27">
        <v>200</v>
      </c>
      <c r="S27">
        <v>200</v>
      </c>
      <c r="T27">
        <v>30</v>
      </c>
      <c r="U27">
        <v>200</v>
      </c>
      <c r="V27">
        <v>200</v>
      </c>
      <c r="W27">
        <v>198</v>
      </c>
      <c r="X27">
        <v>200</v>
      </c>
      <c r="Y27">
        <v>199</v>
      </c>
      <c r="Z27">
        <v>200</v>
      </c>
      <c r="AA27">
        <v>199</v>
      </c>
      <c r="AB27">
        <v>200</v>
      </c>
      <c r="AC27">
        <v>199</v>
      </c>
      <c r="AD27">
        <v>93.3</v>
      </c>
      <c r="AE27">
        <v>98.8</v>
      </c>
      <c r="AF27">
        <v>96.5</v>
      </c>
      <c r="AG27">
        <v>87.1</v>
      </c>
      <c r="AH27" t="s">
        <v>83</v>
      </c>
      <c r="AI27" t="s">
        <v>83</v>
      </c>
      <c r="AJ27" t="s">
        <v>83</v>
      </c>
      <c r="AK27">
        <v>89</v>
      </c>
      <c r="AL27">
        <v>72</v>
      </c>
      <c r="AM27">
        <v>100</v>
      </c>
      <c r="AP27">
        <v>10</v>
      </c>
      <c r="AQ27">
        <v>80.8</v>
      </c>
      <c r="AR27">
        <v>5.5</v>
      </c>
      <c r="AS27">
        <v>0</v>
      </c>
      <c r="AT27">
        <v>0</v>
      </c>
      <c r="AU27">
        <v>96.54</v>
      </c>
      <c r="AV27">
        <v>96.54</v>
      </c>
      <c r="AW27">
        <v>96.54</v>
      </c>
      <c r="AX27">
        <v>96.54</v>
      </c>
      <c r="AY27">
        <v>101.35</v>
      </c>
      <c r="AZ27">
        <v>101.35</v>
      </c>
      <c r="BA27">
        <v>101.35</v>
      </c>
      <c r="BB27">
        <v>101.35</v>
      </c>
      <c r="BC27">
        <v>93.93</v>
      </c>
      <c r="BD27">
        <v>93.93</v>
      </c>
      <c r="BE27">
        <v>93.93</v>
      </c>
      <c r="BF27">
        <v>93.93</v>
      </c>
      <c r="BG27">
        <v>89</v>
      </c>
      <c r="BH27">
        <v>89</v>
      </c>
      <c r="BI27">
        <v>89</v>
      </c>
      <c r="BJ27">
        <v>89</v>
      </c>
      <c r="BK27">
        <v>72</v>
      </c>
      <c r="BL27">
        <v>72</v>
      </c>
      <c r="BM27">
        <v>72</v>
      </c>
      <c r="BN27">
        <v>72</v>
      </c>
      <c r="BW27">
        <v>92.99</v>
      </c>
      <c r="BX27">
        <v>92.99</v>
      </c>
      <c r="BY27" s="11">
        <v>92.99</v>
      </c>
      <c r="BZ27">
        <v>92.99</v>
      </c>
      <c r="CA27" s="7" t="str">
        <f>VLOOKUP(BY27, $BZ$34:$CA$38, 2, TRUE)</f>
        <v>A</v>
      </c>
    </row>
    <row r="28" spans="1:79" x14ac:dyDescent="0.25">
      <c r="A28" t="s">
        <v>124</v>
      </c>
      <c r="B28">
        <v>229934</v>
      </c>
      <c r="C28" s="4" t="s">
        <v>125</v>
      </c>
      <c r="D28" s="4" t="s">
        <v>125</v>
      </c>
      <c r="E28" t="s">
        <v>81</v>
      </c>
      <c r="F28" t="s">
        <v>82</v>
      </c>
      <c r="H28">
        <v>2</v>
      </c>
      <c r="I28">
        <v>25</v>
      </c>
      <c r="J28">
        <v>70</v>
      </c>
      <c r="K28">
        <v>18</v>
      </c>
      <c r="L28">
        <v>20</v>
      </c>
      <c r="M28">
        <v>47</v>
      </c>
      <c r="N28">
        <v>70</v>
      </c>
      <c r="O28">
        <v>0</v>
      </c>
      <c r="P28">
        <v>0</v>
      </c>
      <c r="Q28">
        <v>200</v>
      </c>
      <c r="R28">
        <v>35</v>
      </c>
      <c r="S28">
        <v>185</v>
      </c>
      <c r="T28">
        <v>23</v>
      </c>
      <c r="U28">
        <v>195</v>
      </c>
      <c r="V28">
        <v>188</v>
      </c>
      <c r="W28">
        <v>178</v>
      </c>
      <c r="X28">
        <v>188</v>
      </c>
      <c r="Y28">
        <v>196</v>
      </c>
      <c r="Z28">
        <v>192</v>
      </c>
      <c r="AA28">
        <v>191</v>
      </c>
      <c r="AB28">
        <v>200</v>
      </c>
      <c r="AC28">
        <v>198</v>
      </c>
      <c r="AD28">
        <v>56.7</v>
      </c>
      <c r="AE28">
        <v>64.599999999999994</v>
      </c>
      <c r="AF28">
        <v>55.3</v>
      </c>
      <c r="AG28">
        <v>36.5</v>
      </c>
      <c r="AH28" t="s">
        <v>83</v>
      </c>
      <c r="AI28" t="s">
        <v>83</v>
      </c>
      <c r="AJ28" t="s">
        <v>86</v>
      </c>
      <c r="AK28">
        <v>47</v>
      </c>
      <c r="AL28">
        <v>32</v>
      </c>
      <c r="AM28">
        <v>91</v>
      </c>
      <c r="AP28">
        <v>6.8</v>
      </c>
      <c r="AQ28">
        <v>26.2</v>
      </c>
      <c r="AU28">
        <v>88.74</v>
      </c>
      <c r="AV28">
        <v>88.74</v>
      </c>
      <c r="AW28">
        <v>88.74</v>
      </c>
      <c r="AX28">
        <v>88.74</v>
      </c>
      <c r="AY28">
        <v>99.55</v>
      </c>
      <c r="AZ28">
        <v>99.55</v>
      </c>
      <c r="BA28">
        <v>99.55</v>
      </c>
      <c r="BB28">
        <v>99.55</v>
      </c>
      <c r="BC28">
        <v>53.28</v>
      </c>
      <c r="BD28">
        <v>53.28</v>
      </c>
      <c r="BE28">
        <v>53.28</v>
      </c>
      <c r="BF28">
        <v>53.28</v>
      </c>
      <c r="BG28">
        <v>47</v>
      </c>
      <c r="BH28">
        <v>47</v>
      </c>
      <c r="BI28">
        <v>47</v>
      </c>
      <c r="BJ28">
        <v>47</v>
      </c>
      <c r="BK28">
        <v>32</v>
      </c>
      <c r="BL28">
        <v>32</v>
      </c>
      <c r="BM28">
        <v>32</v>
      </c>
      <c r="BN28">
        <v>32</v>
      </c>
      <c r="BW28">
        <v>63.1</v>
      </c>
      <c r="BX28">
        <v>63.1</v>
      </c>
      <c r="BY28" s="11">
        <v>63.1</v>
      </c>
      <c r="BZ28">
        <v>63.1</v>
      </c>
      <c r="CA28" s="7" t="str">
        <f>VLOOKUP(BY28, $BZ$34:$CA$38, 2, TRUE)</f>
        <v>C</v>
      </c>
    </row>
    <row r="29" spans="1:79" x14ac:dyDescent="0.25">
      <c r="A29" t="s">
        <v>126</v>
      </c>
      <c r="B29">
        <v>49030</v>
      </c>
      <c r="C29" s="4" t="s">
        <v>127</v>
      </c>
      <c r="D29" s="4" t="s">
        <v>127</v>
      </c>
      <c r="E29" t="s">
        <v>81</v>
      </c>
      <c r="F29" t="s">
        <v>82</v>
      </c>
      <c r="H29">
        <v>2</v>
      </c>
      <c r="I29">
        <v>25</v>
      </c>
      <c r="J29">
        <v>77</v>
      </c>
      <c r="K29">
        <v>17</v>
      </c>
      <c r="L29">
        <v>4</v>
      </c>
      <c r="M29">
        <v>53</v>
      </c>
      <c r="N29">
        <v>72</v>
      </c>
      <c r="O29">
        <v>189.47</v>
      </c>
      <c r="P29">
        <v>180.95</v>
      </c>
      <c r="Q29">
        <v>200</v>
      </c>
      <c r="R29">
        <v>40</v>
      </c>
      <c r="S29">
        <v>130</v>
      </c>
      <c r="T29">
        <v>23</v>
      </c>
      <c r="U29">
        <v>170</v>
      </c>
      <c r="V29">
        <v>175</v>
      </c>
      <c r="W29">
        <v>150</v>
      </c>
      <c r="X29">
        <v>140</v>
      </c>
      <c r="Y29">
        <v>190</v>
      </c>
      <c r="Z29">
        <v>165</v>
      </c>
      <c r="AA29">
        <v>170</v>
      </c>
      <c r="AB29">
        <v>171</v>
      </c>
      <c r="AC29">
        <v>0</v>
      </c>
      <c r="AD29">
        <v>36.700000000000003</v>
      </c>
      <c r="AE29">
        <v>35.4</v>
      </c>
      <c r="AF29">
        <v>57.6</v>
      </c>
      <c r="AG29">
        <v>27.1</v>
      </c>
      <c r="AH29" t="s">
        <v>83</v>
      </c>
      <c r="AI29" t="s">
        <v>83</v>
      </c>
      <c r="AJ29" t="s">
        <v>83</v>
      </c>
      <c r="AK29">
        <v>18</v>
      </c>
      <c r="AL29">
        <v>20</v>
      </c>
      <c r="AM29">
        <v>87</v>
      </c>
      <c r="AN29">
        <v>0</v>
      </c>
      <c r="AO29">
        <v>0</v>
      </c>
      <c r="AP29">
        <v>7</v>
      </c>
      <c r="AQ29">
        <v>38.5</v>
      </c>
      <c r="AU29">
        <v>88.81</v>
      </c>
      <c r="AV29">
        <v>88.81</v>
      </c>
      <c r="AW29">
        <v>88.81</v>
      </c>
      <c r="AX29">
        <v>88.81</v>
      </c>
      <c r="AY29">
        <v>86.2</v>
      </c>
      <c r="AZ29">
        <v>86.2</v>
      </c>
      <c r="BA29">
        <v>86.2</v>
      </c>
      <c r="BB29">
        <v>86.2</v>
      </c>
      <c r="BC29">
        <v>39.200000000000003</v>
      </c>
      <c r="BD29">
        <v>39.200000000000003</v>
      </c>
      <c r="BE29">
        <v>39.200000000000003</v>
      </c>
      <c r="BF29">
        <v>39.200000000000003</v>
      </c>
      <c r="BG29">
        <v>18</v>
      </c>
      <c r="BH29">
        <v>18</v>
      </c>
      <c r="BI29">
        <v>18</v>
      </c>
      <c r="BJ29">
        <v>18</v>
      </c>
      <c r="BK29">
        <v>20</v>
      </c>
      <c r="BL29">
        <v>20</v>
      </c>
      <c r="BM29">
        <v>20</v>
      </c>
      <c r="BN29">
        <v>20</v>
      </c>
      <c r="BW29">
        <v>50.71</v>
      </c>
      <c r="BX29">
        <v>50.71</v>
      </c>
      <c r="BY29" s="11">
        <v>50.71</v>
      </c>
      <c r="BZ29">
        <v>50.71</v>
      </c>
      <c r="CA29" s="7" t="str">
        <f>VLOOKUP(BY29, $BZ$34:$CA$38, 2, TRUE)</f>
        <v>D</v>
      </c>
    </row>
    <row r="30" spans="1:79" x14ac:dyDescent="0.25">
      <c r="A30" t="s">
        <v>128</v>
      </c>
      <c r="B30">
        <v>282679</v>
      </c>
      <c r="C30" s="4" t="s">
        <v>129</v>
      </c>
      <c r="D30" s="4" t="s">
        <v>129</v>
      </c>
      <c r="E30" t="s">
        <v>81</v>
      </c>
      <c r="F30" t="s">
        <v>82</v>
      </c>
      <c r="H30">
        <v>2</v>
      </c>
      <c r="I30">
        <v>25</v>
      </c>
      <c r="J30">
        <v>71</v>
      </c>
      <c r="K30">
        <v>21</v>
      </c>
      <c r="L30">
        <v>24</v>
      </c>
      <c r="M30">
        <v>71</v>
      </c>
      <c r="N30">
        <v>75</v>
      </c>
      <c r="O30">
        <v>200</v>
      </c>
      <c r="P30">
        <v>180.95</v>
      </c>
      <c r="Q30">
        <v>200</v>
      </c>
      <c r="R30">
        <v>40</v>
      </c>
      <c r="S30">
        <v>180</v>
      </c>
      <c r="T30">
        <v>30</v>
      </c>
      <c r="U30">
        <v>184</v>
      </c>
      <c r="V30">
        <v>200</v>
      </c>
      <c r="W30">
        <v>196</v>
      </c>
      <c r="X30">
        <v>198</v>
      </c>
      <c r="Y30">
        <v>190</v>
      </c>
      <c r="Z30">
        <v>200</v>
      </c>
      <c r="AA30">
        <v>188</v>
      </c>
      <c r="AB30">
        <v>199</v>
      </c>
      <c r="AC30">
        <v>199</v>
      </c>
      <c r="AD30" t="s">
        <v>86</v>
      </c>
      <c r="AE30">
        <v>43.9</v>
      </c>
      <c r="AF30">
        <v>65.900000000000006</v>
      </c>
      <c r="AG30">
        <v>48.2</v>
      </c>
      <c r="AH30">
        <v>71.8</v>
      </c>
      <c r="AI30" t="s">
        <v>83</v>
      </c>
      <c r="AJ30" t="s">
        <v>83</v>
      </c>
      <c r="AK30">
        <v>60</v>
      </c>
      <c r="AL30">
        <v>32</v>
      </c>
      <c r="AM30">
        <v>93</v>
      </c>
      <c r="AN30">
        <v>0</v>
      </c>
      <c r="AS30">
        <v>0</v>
      </c>
      <c r="AT30">
        <v>0</v>
      </c>
      <c r="AU30">
        <v>97.76</v>
      </c>
      <c r="AV30">
        <v>97.76</v>
      </c>
      <c r="AW30">
        <v>97.76</v>
      </c>
      <c r="AX30">
        <v>97.76</v>
      </c>
      <c r="AY30">
        <v>101.2</v>
      </c>
      <c r="AZ30">
        <v>101.2</v>
      </c>
      <c r="BA30">
        <v>101.2</v>
      </c>
      <c r="BB30">
        <v>101.2</v>
      </c>
      <c r="BC30">
        <v>57.45</v>
      </c>
      <c r="BD30">
        <v>57.45</v>
      </c>
      <c r="BE30">
        <v>57.45</v>
      </c>
      <c r="BF30">
        <v>57.45</v>
      </c>
      <c r="BG30">
        <v>60</v>
      </c>
      <c r="BH30">
        <v>60</v>
      </c>
      <c r="BI30">
        <v>60</v>
      </c>
      <c r="BJ30">
        <v>60</v>
      </c>
      <c r="BK30">
        <v>32</v>
      </c>
      <c r="BL30">
        <v>32</v>
      </c>
      <c r="BM30">
        <v>32</v>
      </c>
      <c r="BN30">
        <v>32</v>
      </c>
      <c r="BW30">
        <v>67.64</v>
      </c>
      <c r="BX30">
        <v>67.64</v>
      </c>
      <c r="BY30" s="11">
        <v>67.64</v>
      </c>
      <c r="BZ30">
        <v>67.64</v>
      </c>
      <c r="CA30" s="7" t="str">
        <f>VLOOKUP(BY30, $BZ$34:$CA$38, 2, TRUE)</f>
        <v>B</v>
      </c>
    </row>
    <row r="31" spans="1:79" x14ac:dyDescent="0.25">
      <c r="A31" s="19" t="s">
        <v>148</v>
      </c>
      <c r="B31" s="20">
        <f>COUNTA(A3:A30)</f>
        <v>28</v>
      </c>
      <c r="BY31" s="11"/>
      <c r="CA31" s="7"/>
    </row>
    <row r="32" spans="1:79" ht="39" customHeight="1" thickBot="1" x14ac:dyDescent="0.3">
      <c r="A32" s="16" t="s">
        <v>143</v>
      </c>
      <c r="B32" s="15" t="s">
        <v>141</v>
      </c>
      <c r="C32" s="14" t="s">
        <v>138</v>
      </c>
      <c r="D32" s="14"/>
    </row>
    <row r="33" spans="1:79" ht="16.5" thickBot="1" x14ac:dyDescent="0.3">
      <c r="A33" s="16"/>
      <c r="B33" s="15"/>
      <c r="C33" s="3" t="s">
        <v>139</v>
      </c>
      <c r="D33" s="3" t="s">
        <v>140</v>
      </c>
      <c r="BZ33" s="12" t="s">
        <v>147</v>
      </c>
      <c r="CA33" s="12" t="s">
        <v>141</v>
      </c>
    </row>
    <row r="34" spans="1:79" ht="16.5" thickBot="1" x14ac:dyDescent="0.3">
      <c r="A34" s="16"/>
      <c r="B34" s="7" t="s">
        <v>133</v>
      </c>
      <c r="C34" s="7">
        <v>75.489999999999995</v>
      </c>
      <c r="D34" s="8" t="s">
        <v>142</v>
      </c>
      <c r="BZ34" s="13">
        <v>0</v>
      </c>
      <c r="CA34" s="13" t="s">
        <v>137</v>
      </c>
    </row>
    <row r="35" spans="1:79" ht="16.5" thickBot="1" x14ac:dyDescent="0.3">
      <c r="A35" s="16"/>
      <c r="B35" s="7" t="s">
        <v>134</v>
      </c>
      <c r="C35" s="7">
        <v>65.44</v>
      </c>
      <c r="D35" s="7">
        <v>75.430000000000007</v>
      </c>
      <c r="BZ35" s="13">
        <v>45.44</v>
      </c>
      <c r="CA35" s="13" t="s">
        <v>136</v>
      </c>
    </row>
    <row r="36" spans="1:79" ht="16.5" thickBot="1" x14ac:dyDescent="0.3">
      <c r="A36" s="16"/>
      <c r="B36" s="7" t="s">
        <v>135</v>
      </c>
      <c r="C36" s="7">
        <v>55.44</v>
      </c>
      <c r="D36" s="7">
        <v>65.430000000000007</v>
      </c>
      <c r="BZ36" s="13">
        <v>55.44</v>
      </c>
      <c r="CA36" s="13" t="s">
        <v>135</v>
      </c>
    </row>
    <row r="37" spans="1:79" ht="16.5" thickBot="1" x14ac:dyDescent="0.3">
      <c r="A37" s="16"/>
      <c r="B37" s="7" t="s">
        <v>136</v>
      </c>
      <c r="C37" s="7">
        <v>45.44</v>
      </c>
      <c r="D37" s="7">
        <v>55.43</v>
      </c>
      <c r="BZ37" s="13">
        <v>65.44</v>
      </c>
      <c r="CA37" s="13" t="s">
        <v>134</v>
      </c>
    </row>
    <row r="38" spans="1:79" ht="16.5" thickBot="1" x14ac:dyDescent="0.3">
      <c r="A38" s="16"/>
      <c r="B38" s="7" t="s">
        <v>137</v>
      </c>
      <c r="C38" s="8" t="s">
        <v>142</v>
      </c>
      <c r="D38" s="7">
        <v>45.44</v>
      </c>
      <c r="BZ38" s="13">
        <v>75.489999999999995</v>
      </c>
      <c r="CA38" s="13" t="s">
        <v>133</v>
      </c>
    </row>
    <row r="39" spans="1:79" x14ac:dyDescent="0.25">
      <c r="A39" s="18" t="s">
        <v>144</v>
      </c>
      <c r="B39" s="17" t="s">
        <v>145</v>
      </c>
      <c r="C39" s="17"/>
      <c r="D39" s="17"/>
      <c r="E39" s="17"/>
      <c r="F39" s="17"/>
      <c r="G39" s="17"/>
      <c r="H39" s="17"/>
    </row>
    <row r="40" spans="1:79" x14ac:dyDescent="0.25">
      <c r="A40" s="18"/>
      <c r="B40" s="17"/>
      <c r="C40" s="17"/>
      <c r="D40" s="17"/>
      <c r="E40" s="17"/>
      <c r="F40" s="17"/>
      <c r="G40" s="17"/>
      <c r="H40" s="17"/>
    </row>
    <row r="41" spans="1:79" x14ac:dyDescent="0.25">
      <c r="A41" s="18"/>
      <c r="B41" s="17"/>
      <c r="C41" s="17"/>
      <c r="D41" s="17"/>
      <c r="E41" s="17"/>
      <c r="F41" s="17"/>
      <c r="G41" s="17"/>
      <c r="H41" s="17"/>
    </row>
    <row r="42" spans="1:79" x14ac:dyDescent="0.25">
      <c r="A42" s="18"/>
      <c r="B42" s="17"/>
      <c r="C42" s="17"/>
      <c r="D42" s="17"/>
      <c r="E42" s="17"/>
      <c r="F42" s="17"/>
      <c r="G42" s="17"/>
      <c r="H42" s="17"/>
    </row>
    <row r="43" spans="1:79" x14ac:dyDescent="0.25">
      <c r="A43" s="18"/>
      <c r="B43" s="17"/>
      <c r="C43" s="17"/>
      <c r="D43" s="17"/>
      <c r="E43" s="17"/>
      <c r="F43" s="17"/>
      <c r="G43" s="17"/>
      <c r="H43" s="17"/>
    </row>
    <row r="44" spans="1:79" x14ac:dyDescent="0.25">
      <c r="A44" s="18"/>
      <c r="B44" s="17"/>
      <c r="C44" s="17"/>
      <c r="D44" s="17"/>
      <c r="E44" s="17"/>
      <c r="F44" s="17"/>
      <c r="G44" s="17"/>
      <c r="H44" s="17"/>
    </row>
    <row r="45" spans="1:79" x14ac:dyDescent="0.25">
      <c r="A45" s="18"/>
      <c r="B45" s="17"/>
      <c r="C45" s="17"/>
      <c r="D45" s="17"/>
      <c r="E45" s="17"/>
      <c r="F45" s="17"/>
      <c r="G45" s="17"/>
      <c r="H45" s="17"/>
    </row>
    <row r="46" spans="1:79" x14ac:dyDescent="0.25">
      <c r="A46" s="18"/>
      <c r="B46" s="17"/>
      <c r="C46" s="17"/>
      <c r="D46" s="17"/>
      <c r="E46" s="17"/>
      <c r="F46" s="17"/>
      <c r="G46" s="17"/>
      <c r="H46" s="17"/>
    </row>
    <row r="47" spans="1:79" x14ac:dyDescent="0.25">
      <c r="A47" s="18"/>
      <c r="B47" s="17"/>
      <c r="C47" s="17"/>
      <c r="D47" s="17"/>
      <c r="E47" s="17"/>
      <c r="F47" s="17"/>
      <c r="G47" s="17"/>
      <c r="H47" s="17"/>
    </row>
    <row r="48" spans="1:79" x14ac:dyDescent="0.25">
      <c r="A48" s="18"/>
      <c r="B48" s="17"/>
      <c r="C48" s="17"/>
      <c r="D48" s="17"/>
      <c r="E48" s="17"/>
      <c r="F48" s="17"/>
      <c r="G48" s="17"/>
      <c r="H48" s="17"/>
    </row>
  </sheetData>
  <sortState xmlns:xlrd2="http://schemas.microsoft.com/office/spreadsheetml/2017/richdata2" ref="A3:CA31">
    <sortCondition ref="F3:F31"/>
    <sortCondition ref="A3:A31"/>
  </sortState>
  <mergeCells count="5">
    <mergeCell ref="C32:D32"/>
    <mergeCell ref="B32:B33"/>
    <mergeCell ref="A32:A38"/>
    <mergeCell ref="B39:H48"/>
    <mergeCell ref="A39:A4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2025-12-15T0733_Grades-CHEM-3A-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 Halloran</cp:lastModifiedBy>
  <dcterms:created xsi:type="dcterms:W3CDTF">2025-12-15T15:34:13Z</dcterms:created>
  <dcterms:modified xsi:type="dcterms:W3CDTF">2026-01-05T19:22:36Z</dcterms:modified>
</cp:coreProperties>
</file>