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"/>
    </mc:Choice>
  </mc:AlternateContent>
  <xr:revisionPtr revIDLastSave="0" documentId="13_ncr:1_{B38C8BCC-41F8-4C4F-B69B-044F4698D943}" xr6:coauthVersionLast="47" xr6:coauthVersionMax="47" xr10:uidLastSave="{00000000-0000-0000-0000-000000000000}"/>
  <bookViews>
    <workbookView xWindow="10080" yWindow="765" windowWidth="18480" windowHeight="20220" xr2:uid="{54CDB5C2-667C-4F24-B1FD-E0D89FD10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1" i="1"/>
  <c r="D10" i="1"/>
  <c r="D9" i="1"/>
  <c r="D8" i="1"/>
  <c r="D7" i="1"/>
  <c r="B10" i="1"/>
  <c r="B9" i="1"/>
  <c r="B8" i="1"/>
  <c r="B7" i="1"/>
  <c r="B5" i="1"/>
  <c r="B4" i="1"/>
  <c r="B3" i="1"/>
  <c r="B2" i="1"/>
  <c r="B1" i="1"/>
  <c r="C1" i="1" s="1"/>
  <c r="C2" i="1" l="1"/>
  <c r="C3" i="1" s="1"/>
  <c r="C4" i="1" s="1"/>
</calcChain>
</file>

<file path=xl/sharedStrings.xml><?xml version="1.0" encoding="utf-8"?>
<sst xmlns="http://schemas.openxmlformats.org/spreadsheetml/2006/main" count="23" uniqueCount="18">
  <si>
    <t>43908/11</t>
  </si>
  <si>
    <t>43957/58</t>
  </si>
  <si>
    <t>A</t>
  </si>
  <si>
    <t>B</t>
  </si>
  <si>
    <t>C</t>
  </si>
  <si>
    <t>D</t>
  </si>
  <si>
    <t>F</t>
  </si>
  <si>
    <t>mean</t>
  </si>
  <si>
    <t>stdev</t>
  </si>
  <si>
    <t>median</t>
  </si>
  <si>
    <t>count</t>
  </si>
  <si>
    <t>Grade</t>
  </si>
  <si>
    <r>
      <t xml:space="preserve">Total Points
</t>
    </r>
    <r>
      <rPr>
        <b/>
        <sz val="14"/>
        <color theme="1"/>
        <rFont val="Aptos Narrow"/>
        <family val="2"/>
        <scheme val="minor"/>
      </rPr>
      <t>(in Canvas app)</t>
    </r>
  </si>
  <si>
    <t>&gt; 75.49</t>
  </si>
  <si>
    <t>65.44 to 75.43</t>
  </si>
  <si>
    <t>55.44 to 65.43</t>
  </si>
  <si>
    <t>45.44 to 55.43</t>
  </si>
  <si>
    <t>&lt; 45.44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</si>
</sst>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  <color rgb="FFFFFFCC"/>
      <color rgb="FFFF99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5405-AEA7-4D0E-8CAB-F137B2B7FDDD}">
  <dimension ref="A1:G75"/>
  <sheetViews>
    <sheetView tabSelected="1" topLeftCell="A25" workbookViewId="0">
      <selection activeCell="C71" sqref="C71"/>
    </sheetView>
  </sheetViews>
  <sheetFormatPr defaultRowHeight="15" x14ac:dyDescent="0.25"/>
  <cols>
    <col min="2" max="2" width="9.5703125" customWidth="1"/>
    <col min="3" max="3" width="6.42578125" customWidth="1"/>
    <col min="4" max="4" width="9.28515625" customWidth="1"/>
    <col min="7" max="7" width="25.85546875" customWidth="1"/>
  </cols>
  <sheetData>
    <row r="1" spans="1:5" x14ac:dyDescent="0.25">
      <c r="A1" s="1" t="s">
        <v>2</v>
      </c>
      <c r="B1">
        <f>COUNT(B13:B19)</f>
        <v>7</v>
      </c>
      <c r="C1" s="8">
        <f>B1/SUM($B$1:$B$5)</f>
        <v>0.15217391304347827</v>
      </c>
      <c r="D1">
        <f>COUNT(D13:D21)</f>
        <v>9</v>
      </c>
    </row>
    <row r="2" spans="1:5" x14ac:dyDescent="0.25">
      <c r="A2" s="1" t="s">
        <v>3</v>
      </c>
      <c r="B2">
        <f>COUNT(B20:B35)</f>
        <v>16</v>
      </c>
      <c r="C2" s="8">
        <f>B2/SUM($B$1:$B$5)+C1</f>
        <v>0.5</v>
      </c>
      <c r="D2">
        <f>COUNT(D22:D37)</f>
        <v>16</v>
      </c>
    </row>
    <row r="3" spans="1:5" x14ac:dyDescent="0.25">
      <c r="A3" s="1" t="s">
        <v>4</v>
      </c>
      <c r="B3">
        <f>COUNT(B36:B45)</f>
        <v>10</v>
      </c>
      <c r="C3" s="8">
        <f t="shared" ref="C3:C4" si="0">B3/SUM($B$1:$B$5)+C2</f>
        <v>0.71739130434782605</v>
      </c>
      <c r="D3">
        <f>COUNT(D38:D52)</f>
        <v>15</v>
      </c>
      <c r="E3" s="11"/>
    </row>
    <row r="4" spans="1:5" x14ac:dyDescent="0.25">
      <c r="A4" s="1" t="s">
        <v>5</v>
      </c>
      <c r="B4">
        <f>COUNT(B46:B48)</f>
        <v>3</v>
      </c>
      <c r="C4" s="8">
        <f t="shared" si="0"/>
        <v>0.78260869565217384</v>
      </c>
      <c r="D4">
        <f>COUNT(D53:D63)</f>
        <v>11</v>
      </c>
    </row>
    <row r="5" spans="1:5" x14ac:dyDescent="0.25">
      <c r="A5" s="1" t="s">
        <v>6</v>
      </c>
      <c r="B5">
        <f>COUNT(B49:B58)</f>
        <v>10</v>
      </c>
      <c r="D5">
        <f>COUNT(D64:D66)</f>
        <v>3</v>
      </c>
    </row>
    <row r="6" spans="1:5" x14ac:dyDescent="0.25">
      <c r="A6" s="1"/>
    </row>
    <row r="7" spans="1:5" x14ac:dyDescent="0.25">
      <c r="A7" s="1" t="s">
        <v>7</v>
      </c>
      <c r="B7" s="12">
        <f>AVERAGE(B13:B58)</f>
        <v>71.51478260869564</v>
      </c>
      <c r="D7" s="12">
        <f>AVERAGE(D13:D66)</f>
        <v>63.837777777777774</v>
      </c>
    </row>
    <row r="8" spans="1:5" x14ac:dyDescent="0.25">
      <c r="A8" s="1" t="s">
        <v>8</v>
      </c>
      <c r="B8" s="12">
        <f>STDEV(B13:B58)</f>
        <v>21.988267451239757</v>
      </c>
      <c r="D8" s="12">
        <f>STDEV(D13:D66)</f>
        <v>14.252255255720586</v>
      </c>
    </row>
    <row r="9" spans="1:5" x14ac:dyDescent="0.25">
      <c r="A9" s="1" t="s">
        <v>9</v>
      </c>
      <c r="B9" s="12">
        <f>MEDIAN(B13:B58)</f>
        <v>79.734999999999999</v>
      </c>
      <c r="D9">
        <f>MEDIAN(D13:D66)</f>
        <v>63.72</v>
      </c>
    </row>
    <row r="10" spans="1:5" x14ac:dyDescent="0.25">
      <c r="A10" s="1" t="s">
        <v>10</v>
      </c>
      <c r="B10">
        <f>COUNT(B13:B58)</f>
        <v>46</v>
      </c>
      <c r="D10">
        <f>COUNT(D13:D66)</f>
        <v>54</v>
      </c>
    </row>
    <row r="11" spans="1:5" x14ac:dyDescent="0.25">
      <c r="B11" s="2"/>
      <c r="C11" s="2"/>
      <c r="D11" s="2"/>
    </row>
    <row r="12" spans="1:5" x14ac:dyDescent="0.25">
      <c r="B12" s="1" t="s">
        <v>0</v>
      </c>
      <c r="C12" s="1"/>
      <c r="D12" s="1" t="s">
        <v>1</v>
      </c>
    </row>
    <row r="13" spans="1:5" x14ac:dyDescent="0.25">
      <c r="A13">
        <v>1</v>
      </c>
      <c r="B13" s="3">
        <v>95.88</v>
      </c>
      <c r="C13" s="3"/>
      <c r="D13" s="9">
        <v>92.99</v>
      </c>
    </row>
    <row r="14" spans="1:5" x14ac:dyDescent="0.25">
      <c r="A14">
        <v>2</v>
      </c>
      <c r="B14" s="3">
        <v>95.38</v>
      </c>
      <c r="C14" s="3"/>
      <c r="D14" s="9">
        <v>90.89</v>
      </c>
    </row>
    <row r="15" spans="1:5" x14ac:dyDescent="0.25">
      <c r="A15">
        <v>3</v>
      </c>
      <c r="B15" s="3">
        <v>92.58</v>
      </c>
      <c r="C15" s="3"/>
      <c r="D15" s="9">
        <v>86.16</v>
      </c>
    </row>
    <row r="16" spans="1:5" x14ac:dyDescent="0.25">
      <c r="A16">
        <v>4</v>
      </c>
      <c r="B16" s="3">
        <v>92.54</v>
      </c>
      <c r="C16" s="3"/>
      <c r="D16" s="9">
        <v>81.09</v>
      </c>
    </row>
    <row r="17" spans="1:4" x14ac:dyDescent="0.25">
      <c r="A17">
        <v>5</v>
      </c>
      <c r="B17" s="3">
        <v>91.01</v>
      </c>
      <c r="C17" s="3"/>
      <c r="D17" s="9">
        <v>78.67</v>
      </c>
    </row>
    <row r="18" spans="1:4" x14ac:dyDescent="0.25">
      <c r="A18">
        <v>6</v>
      </c>
      <c r="B18" s="3">
        <v>90.47</v>
      </c>
      <c r="C18" s="3"/>
      <c r="D18" s="9">
        <v>77.930000000000007</v>
      </c>
    </row>
    <row r="19" spans="1:4" x14ac:dyDescent="0.25">
      <c r="A19">
        <v>7</v>
      </c>
      <c r="B19" s="3">
        <v>90.01</v>
      </c>
      <c r="C19" s="3"/>
      <c r="D19" s="9">
        <v>77.569999999999993</v>
      </c>
    </row>
    <row r="20" spans="1:4" x14ac:dyDescent="0.25">
      <c r="A20">
        <v>8</v>
      </c>
      <c r="B20" s="4">
        <v>89.08</v>
      </c>
      <c r="C20" s="4"/>
      <c r="D20" s="9">
        <v>77.569999999999993</v>
      </c>
    </row>
    <row r="21" spans="1:4" x14ac:dyDescent="0.25">
      <c r="A21">
        <v>9</v>
      </c>
      <c r="B21" s="4">
        <v>88.61</v>
      </c>
      <c r="C21" s="4"/>
      <c r="D21" s="9">
        <v>76.08</v>
      </c>
    </row>
    <row r="22" spans="1:4" x14ac:dyDescent="0.25">
      <c r="A22">
        <v>10</v>
      </c>
      <c r="B22" s="4">
        <v>87.78</v>
      </c>
      <c r="C22" s="4"/>
      <c r="D22" s="10">
        <v>75.180000000000007</v>
      </c>
    </row>
    <row r="23" spans="1:4" x14ac:dyDescent="0.25">
      <c r="A23">
        <v>11</v>
      </c>
      <c r="B23" s="4">
        <v>86.69</v>
      </c>
      <c r="C23" s="4"/>
      <c r="D23" s="10">
        <v>75.16</v>
      </c>
    </row>
    <row r="24" spans="1:4" x14ac:dyDescent="0.25">
      <c r="A24">
        <v>12</v>
      </c>
      <c r="B24" s="4">
        <v>86.36</v>
      </c>
      <c r="C24" s="4"/>
      <c r="D24" s="10">
        <v>74.84</v>
      </c>
    </row>
    <row r="25" spans="1:4" x14ac:dyDescent="0.25">
      <c r="A25">
        <v>13</v>
      </c>
      <c r="B25" s="4">
        <v>84.52</v>
      </c>
      <c r="C25" s="4"/>
      <c r="D25" s="10">
        <v>74.75</v>
      </c>
    </row>
    <row r="26" spans="1:4" x14ac:dyDescent="0.25">
      <c r="A26">
        <v>14</v>
      </c>
      <c r="B26" s="4">
        <v>83.81</v>
      </c>
      <c r="C26" s="4"/>
      <c r="D26" s="10">
        <v>74.430000000000007</v>
      </c>
    </row>
    <row r="27" spans="1:4" x14ac:dyDescent="0.25">
      <c r="A27">
        <v>15</v>
      </c>
      <c r="B27" s="4">
        <v>83.77</v>
      </c>
      <c r="C27" s="4"/>
      <c r="D27" s="10">
        <v>74.39</v>
      </c>
    </row>
    <row r="28" spans="1:4" x14ac:dyDescent="0.25">
      <c r="A28">
        <v>16</v>
      </c>
      <c r="B28" s="4">
        <v>83.49</v>
      </c>
      <c r="C28" s="4"/>
      <c r="D28" s="10">
        <v>74.010000000000005</v>
      </c>
    </row>
    <row r="29" spans="1:4" x14ac:dyDescent="0.25">
      <c r="A29">
        <v>17</v>
      </c>
      <c r="B29" s="4">
        <v>82.96</v>
      </c>
      <c r="C29" s="4"/>
      <c r="D29" s="10">
        <v>72.849999999999994</v>
      </c>
    </row>
    <row r="30" spans="1:4" x14ac:dyDescent="0.25">
      <c r="A30">
        <v>18</v>
      </c>
      <c r="B30" s="4">
        <v>82.88</v>
      </c>
      <c r="C30" s="4"/>
      <c r="D30" s="10">
        <v>72.510000000000005</v>
      </c>
    </row>
    <row r="31" spans="1:4" x14ac:dyDescent="0.25">
      <c r="A31">
        <v>19</v>
      </c>
      <c r="B31" s="4">
        <v>81.83</v>
      </c>
      <c r="C31" s="4"/>
      <c r="D31" s="10">
        <v>72.510000000000005</v>
      </c>
    </row>
    <row r="32" spans="1:4" x14ac:dyDescent="0.25">
      <c r="A32">
        <v>20</v>
      </c>
      <c r="B32" s="4">
        <v>81.3</v>
      </c>
      <c r="C32" s="4"/>
      <c r="D32" s="10">
        <v>71.150000000000006</v>
      </c>
    </row>
    <row r="33" spans="1:4" x14ac:dyDescent="0.25">
      <c r="A33">
        <v>21</v>
      </c>
      <c r="B33" s="4">
        <v>81.260000000000005</v>
      </c>
      <c r="C33" s="4"/>
      <c r="D33" s="10">
        <v>70.41</v>
      </c>
    </row>
    <row r="34" spans="1:4" x14ac:dyDescent="0.25">
      <c r="A34">
        <v>22</v>
      </c>
      <c r="B34" s="4">
        <v>80.45</v>
      </c>
      <c r="C34" s="4"/>
      <c r="D34" s="10">
        <v>69.84</v>
      </c>
    </row>
    <row r="35" spans="1:4" x14ac:dyDescent="0.25">
      <c r="A35">
        <v>23</v>
      </c>
      <c r="B35" s="4">
        <v>80.239999999999995</v>
      </c>
      <c r="C35" s="4"/>
      <c r="D35" s="10">
        <v>68.7</v>
      </c>
    </row>
    <row r="36" spans="1:4" x14ac:dyDescent="0.25">
      <c r="A36">
        <v>24</v>
      </c>
      <c r="B36" s="5">
        <v>79.23</v>
      </c>
      <c r="C36" s="5"/>
      <c r="D36" s="10">
        <v>67.64</v>
      </c>
    </row>
    <row r="37" spans="1:4" x14ac:dyDescent="0.25">
      <c r="A37">
        <v>25</v>
      </c>
      <c r="B37" s="5">
        <v>77.53</v>
      </c>
      <c r="C37" s="5"/>
      <c r="D37" s="10">
        <v>67.06</v>
      </c>
    </row>
    <row r="38" spans="1:4" x14ac:dyDescent="0.25">
      <c r="A38">
        <v>26</v>
      </c>
      <c r="B38" s="5">
        <v>77.16</v>
      </c>
      <c r="C38" s="5"/>
      <c r="D38" s="13">
        <v>65.010000000000005</v>
      </c>
    </row>
    <row r="39" spans="1:4" x14ac:dyDescent="0.25">
      <c r="A39">
        <v>27</v>
      </c>
      <c r="B39" s="5">
        <v>75.16</v>
      </c>
      <c r="C39" s="5"/>
      <c r="D39" s="13">
        <v>63.98</v>
      </c>
    </row>
    <row r="40" spans="1:4" x14ac:dyDescent="0.25">
      <c r="A40">
        <v>28</v>
      </c>
      <c r="B40" s="5">
        <v>74.67</v>
      </c>
      <c r="C40" s="5"/>
      <c r="D40" s="13">
        <v>63.46</v>
      </c>
    </row>
    <row r="41" spans="1:4" x14ac:dyDescent="0.25">
      <c r="A41">
        <v>29</v>
      </c>
      <c r="B41" s="5">
        <v>73.569999999999993</v>
      </c>
      <c r="C41" s="5"/>
      <c r="D41" s="13">
        <v>63.1</v>
      </c>
    </row>
    <row r="42" spans="1:4" x14ac:dyDescent="0.25">
      <c r="A42">
        <v>30</v>
      </c>
      <c r="B42" s="5">
        <v>72.989999999999995</v>
      </c>
      <c r="C42" s="5"/>
      <c r="D42" s="13">
        <v>63.05</v>
      </c>
    </row>
    <row r="43" spans="1:4" x14ac:dyDescent="0.25">
      <c r="A43">
        <v>31</v>
      </c>
      <c r="B43" s="5">
        <v>72.989999999999995</v>
      </c>
      <c r="C43" s="5"/>
      <c r="D43" s="13">
        <v>63.02</v>
      </c>
    </row>
    <row r="44" spans="1:4" x14ac:dyDescent="0.25">
      <c r="A44">
        <v>32</v>
      </c>
      <c r="B44" s="5">
        <v>72.75</v>
      </c>
      <c r="C44" s="5"/>
      <c r="D44" s="13">
        <v>62.92</v>
      </c>
    </row>
    <row r="45" spans="1:4" x14ac:dyDescent="0.25">
      <c r="A45">
        <v>33</v>
      </c>
      <c r="B45" s="5">
        <v>72.16</v>
      </c>
      <c r="C45" s="5"/>
      <c r="D45" s="13">
        <v>61.41</v>
      </c>
    </row>
    <row r="46" spans="1:4" x14ac:dyDescent="0.25">
      <c r="A46">
        <v>34</v>
      </c>
      <c r="B46" s="6">
        <v>68.510000000000005</v>
      </c>
      <c r="C46" s="6"/>
      <c r="D46" s="13">
        <v>61.35</v>
      </c>
    </row>
    <row r="47" spans="1:4" x14ac:dyDescent="0.25">
      <c r="A47">
        <v>35</v>
      </c>
      <c r="B47" s="6">
        <v>68.5</v>
      </c>
      <c r="C47" s="6"/>
      <c r="D47" s="13">
        <v>60.97</v>
      </c>
    </row>
    <row r="48" spans="1:4" x14ac:dyDescent="0.25">
      <c r="A48">
        <v>36</v>
      </c>
      <c r="B48" s="6">
        <v>67.709999999999994</v>
      </c>
      <c r="C48" s="6"/>
      <c r="D48" s="13">
        <v>60.43</v>
      </c>
    </row>
    <row r="49" spans="1:4" x14ac:dyDescent="0.25">
      <c r="A49">
        <v>37</v>
      </c>
      <c r="B49" s="7">
        <v>54.95</v>
      </c>
      <c r="C49" s="7"/>
      <c r="D49" s="13">
        <v>57.89</v>
      </c>
    </row>
    <row r="50" spans="1:4" x14ac:dyDescent="0.25">
      <c r="A50">
        <v>38</v>
      </c>
      <c r="B50" s="7">
        <v>54.94</v>
      </c>
      <c r="C50" s="7"/>
      <c r="D50" s="13">
        <v>56.71</v>
      </c>
    </row>
    <row r="51" spans="1:4" x14ac:dyDescent="0.25">
      <c r="A51">
        <v>39</v>
      </c>
      <c r="B51" s="7">
        <v>43.21</v>
      </c>
      <c r="C51" s="7"/>
      <c r="D51" s="13">
        <v>56.34</v>
      </c>
    </row>
    <row r="52" spans="1:4" x14ac:dyDescent="0.25">
      <c r="A52">
        <v>40</v>
      </c>
      <c r="B52" s="7">
        <v>43.13</v>
      </c>
      <c r="C52" s="7"/>
      <c r="D52" s="13">
        <v>55.44</v>
      </c>
    </row>
    <row r="53" spans="1:4" x14ac:dyDescent="0.25">
      <c r="A53">
        <v>41</v>
      </c>
      <c r="B53" s="7">
        <v>34.42</v>
      </c>
      <c r="C53" s="7"/>
      <c r="D53" s="14">
        <v>54.7</v>
      </c>
    </row>
    <row r="54" spans="1:4" x14ac:dyDescent="0.25">
      <c r="A54">
        <v>42</v>
      </c>
      <c r="B54" s="7">
        <v>29.99</v>
      </c>
      <c r="C54" s="7"/>
      <c r="D54" s="14">
        <v>53.51</v>
      </c>
    </row>
    <row r="55" spans="1:4" x14ac:dyDescent="0.25">
      <c r="A55">
        <v>43</v>
      </c>
      <c r="B55" s="7">
        <v>29.67</v>
      </c>
      <c r="C55" s="7"/>
      <c r="D55" s="14">
        <v>52.39</v>
      </c>
    </row>
    <row r="56" spans="1:4" x14ac:dyDescent="0.25">
      <c r="A56">
        <v>44</v>
      </c>
      <c r="B56" s="7">
        <v>26.63</v>
      </c>
      <c r="C56" s="7"/>
      <c r="D56" s="14">
        <v>52.13</v>
      </c>
    </row>
    <row r="57" spans="1:4" x14ac:dyDescent="0.25">
      <c r="A57">
        <v>45</v>
      </c>
      <c r="B57" s="7">
        <v>17.02</v>
      </c>
      <c r="C57" s="7"/>
      <c r="D57" s="14">
        <v>50.71</v>
      </c>
    </row>
    <row r="58" spans="1:4" x14ac:dyDescent="0.25">
      <c r="A58">
        <v>46</v>
      </c>
      <c r="B58" s="7">
        <v>9.89</v>
      </c>
      <c r="C58" s="7"/>
      <c r="D58" s="14">
        <v>49.3</v>
      </c>
    </row>
    <row r="59" spans="1:4" x14ac:dyDescent="0.25">
      <c r="A59">
        <v>47</v>
      </c>
      <c r="D59" s="14">
        <v>48.54</v>
      </c>
    </row>
    <row r="60" spans="1:4" x14ac:dyDescent="0.25">
      <c r="A60">
        <v>48</v>
      </c>
      <c r="D60" s="14">
        <v>47.47</v>
      </c>
    </row>
    <row r="61" spans="1:4" x14ac:dyDescent="0.25">
      <c r="A61">
        <v>49</v>
      </c>
      <c r="D61" s="14">
        <v>46.67</v>
      </c>
    </row>
    <row r="62" spans="1:4" x14ac:dyDescent="0.25">
      <c r="A62">
        <v>50</v>
      </c>
      <c r="D62" s="14">
        <v>46.53</v>
      </c>
    </row>
    <row r="63" spans="1:4" x14ac:dyDescent="0.25">
      <c r="A63">
        <v>51</v>
      </c>
      <c r="D63" s="14">
        <v>45.64</v>
      </c>
    </row>
    <row r="64" spans="1:4" x14ac:dyDescent="0.25">
      <c r="A64">
        <v>52</v>
      </c>
      <c r="D64" s="15">
        <v>42.88</v>
      </c>
    </row>
    <row r="65" spans="1:7" x14ac:dyDescent="0.25">
      <c r="A65">
        <v>53</v>
      </c>
      <c r="D65" s="15">
        <v>26.72</v>
      </c>
    </row>
    <row r="66" spans="1:7" x14ac:dyDescent="0.25">
      <c r="A66">
        <v>54</v>
      </c>
      <c r="D66" s="15">
        <v>20.59</v>
      </c>
    </row>
    <row r="70" spans="1:7" ht="44.25" x14ac:dyDescent="0.4">
      <c r="F70" s="16" t="s">
        <v>11</v>
      </c>
      <c r="G70" s="17" t="s">
        <v>12</v>
      </c>
    </row>
    <row r="71" spans="1:7" ht="24" x14ac:dyDescent="0.4">
      <c r="F71" s="16" t="s">
        <v>2</v>
      </c>
      <c r="G71" s="16" t="s">
        <v>13</v>
      </c>
    </row>
    <row r="72" spans="1:7" ht="24" x14ac:dyDescent="0.4">
      <c r="F72" s="16" t="s">
        <v>3</v>
      </c>
      <c r="G72" s="16" t="s">
        <v>14</v>
      </c>
    </row>
    <row r="73" spans="1:7" ht="24" x14ac:dyDescent="0.4">
      <c r="F73" s="16" t="s">
        <v>4</v>
      </c>
      <c r="G73" s="16" t="s">
        <v>15</v>
      </c>
    </row>
    <row r="74" spans="1:7" ht="24" x14ac:dyDescent="0.4">
      <c r="F74" s="16" t="s">
        <v>5</v>
      </c>
      <c r="G74" s="16" t="s">
        <v>16</v>
      </c>
    </row>
    <row r="75" spans="1:7" ht="24" x14ac:dyDescent="0.4">
      <c r="F75" s="16" t="s">
        <v>6</v>
      </c>
      <c r="G75" s="16" t="s">
        <v>17</v>
      </c>
    </row>
  </sheetData>
  <phoneticPr fontId="4" type="noConversion"/>
  <pageMargins left="0.7" right="0.7" top="0.75" bottom="0.75" header="0.3" footer="0.3"/>
  <ignoredErrors>
    <ignoredError sqref="B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2025-12-13T02:19:02Z</dcterms:created>
  <dcterms:modified xsi:type="dcterms:W3CDTF">2025-12-13T19:10:35Z</dcterms:modified>
</cp:coreProperties>
</file>