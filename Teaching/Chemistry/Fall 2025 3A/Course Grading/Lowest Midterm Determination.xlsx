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779F8C6-F637-4B95-B1C3-4022EC42463E}" xr6:coauthVersionLast="47" xr6:coauthVersionMax="47" xr10:uidLastSave="{00000000-0000-0000-0000-000000000000}"/>
  <bookViews>
    <workbookView xWindow="10080" yWindow="765" windowWidth="18480" windowHeight="20220" xr2:uid="{B31DCBD7-812B-4AC5-9EB9-1A1635F2D02C}"/>
  </bookViews>
  <sheets>
    <sheet name="2025-12-12T1501_Grades-CHEM-3A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" i="1" l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" i="1"/>
  <c r="L3" i="1" s="1"/>
</calcChain>
</file>

<file path=xl/sharedStrings.xml><?xml version="1.0" encoding="utf-8"?>
<sst xmlns="http://schemas.openxmlformats.org/spreadsheetml/2006/main" count="233" uniqueCount="70">
  <si>
    <t>Student</t>
  </si>
  <si>
    <t>ID</t>
  </si>
  <si>
    <t>Midterm Exam #1 (4225442)</t>
  </si>
  <si>
    <t>Midterm Exam #2 (4234837)</t>
  </si>
  <si>
    <t>Midterm Exam #3 (4264853)</t>
  </si>
  <si>
    <t>Midterm Exam #4 (4285017)</t>
  </si>
  <si>
    <t>Exam 1 Retake (4299522)</t>
  </si>
  <si>
    <t>Exam 2 Retake (4299529)</t>
  </si>
  <si>
    <t>Exam 3 Retake (4299600)</t>
  </si>
  <si>
    <t>3A Final Exam (4309693)</t>
  </si>
  <si>
    <t xml:space="preserve">    Points Possible</t>
  </si>
  <si>
    <t>Andrade, Aaron</t>
  </si>
  <si>
    <t>N/A</t>
  </si>
  <si>
    <t>Aquino, Hailey</t>
  </si>
  <si>
    <t>Arellano Cruz, Ashley</t>
  </si>
  <si>
    <t>Becerril, Destiny</t>
  </si>
  <si>
    <t>Bryant, Taj</t>
  </si>
  <si>
    <t>EX</t>
  </si>
  <si>
    <t>Castro, Socorro</t>
  </si>
  <si>
    <t>Ceballos, Ariel</t>
  </si>
  <si>
    <t>Corea, Kristie</t>
  </si>
  <si>
    <t>Cuevas Romero, Daniela</t>
  </si>
  <si>
    <t>Esparza, Beatrice</t>
  </si>
  <si>
    <t>Fang, Pa</t>
  </si>
  <si>
    <t>Gamez, Sergio</t>
  </si>
  <si>
    <t>Garcia-Hernandez, Allison</t>
  </si>
  <si>
    <t>Garcia, Andres</t>
  </si>
  <si>
    <t>Garcia, Jovanna</t>
  </si>
  <si>
    <t>Garcia, Sabrina</t>
  </si>
  <si>
    <t>Garza, Liliana</t>
  </si>
  <si>
    <t>Her, Kangbao</t>
  </si>
  <si>
    <t>Hernan, Jazmine</t>
  </si>
  <si>
    <t>Hernandez Salcedo, Belen</t>
  </si>
  <si>
    <t>Hernandez, Arriel</t>
  </si>
  <si>
    <t>Jimenez Merino, Oscar</t>
  </si>
  <si>
    <t>Khan, Hamza</t>
  </si>
  <si>
    <t>Landeros, Hidai</t>
  </si>
  <si>
    <t>Lopez, Jovina</t>
  </si>
  <si>
    <t>Maravilla Martinez, Rogelio</t>
  </si>
  <si>
    <t>Marquez, Rocelia</t>
  </si>
  <si>
    <t>Martinez, Nessa</t>
  </si>
  <si>
    <t>McGill, Abbey</t>
  </si>
  <si>
    <t>Morgan, Steve</t>
  </si>
  <si>
    <t>Moua, Haley</t>
  </si>
  <si>
    <t>Munoz Cisneros, Evelyn</t>
  </si>
  <si>
    <t>Musso, Robin</t>
  </si>
  <si>
    <t>Negrete, Miguel</t>
  </si>
  <si>
    <t>Nounvilaythong, Samaria</t>
  </si>
  <si>
    <t>Olea, Joscelyne</t>
  </si>
  <si>
    <t>Parada, Jennifer</t>
  </si>
  <si>
    <t>Pascale, Teah</t>
  </si>
  <si>
    <t>Pedroza, Serena</t>
  </si>
  <si>
    <t>Perales, April</t>
  </si>
  <si>
    <t>Pyle, Matt</t>
  </si>
  <si>
    <t>Rodriguez, Ericke</t>
  </si>
  <si>
    <t>Rodriguez, Madison</t>
  </si>
  <si>
    <t>Ross, Derick</t>
  </si>
  <si>
    <t>San Roman, Jesus</t>
  </si>
  <si>
    <t>Sandoval, Emily</t>
  </si>
  <si>
    <t>Santos, Madi</t>
  </si>
  <si>
    <t>Sarkisyan, Rita</t>
  </si>
  <si>
    <t>Snell, Tricia</t>
  </si>
  <si>
    <t>Tacadena, Elle</t>
  </si>
  <si>
    <t>Vargas, Lisa</t>
  </si>
  <si>
    <t>Wright, Rebecca</t>
  </si>
  <si>
    <t>Xiong, Wendy</t>
  </si>
  <si>
    <t>Zavala, Nia</t>
  </si>
  <si>
    <t>Student, Test</t>
  </si>
  <si>
    <t>Lowest Midterm</t>
  </si>
  <si>
    <t>New Midterm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</si>
</sst>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36A3F-26AD-467E-98D5-673A311D8DA5}">
  <dimension ref="A1:L57"/>
  <sheetViews>
    <sheetView tabSelected="1" workbookViewId="0">
      <pane xSplit="6" ySplit="1" topLeftCell="G36" activePane="bottomRight" state="frozenSplit"/>
      <selection pane="topRight" activeCell="G1" sqref="G1"/>
      <selection pane="bottomLeft" activeCell="A27" sqref="A27"/>
      <selection pane="bottomRight" activeCell="D5" sqref="D5"/>
    </sheetView>
  </sheetViews>
  <sheetFormatPr defaultRowHeight="15" x14ac:dyDescent="0.25"/>
  <cols>
    <col min="1" max="1" width="25.42578125" customWidth="1"/>
    <col min="3" max="12" width="9.85546875" style="1" customWidth="1"/>
  </cols>
  <sheetData>
    <row r="1" spans="1:12" ht="30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68</v>
      </c>
      <c r="L1" s="1" t="s">
        <v>69</v>
      </c>
    </row>
    <row r="2" spans="1:12" x14ac:dyDescent="0.25">
      <c r="A2" t="s">
        <v>10</v>
      </c>
      <c r="C2" s="1">
        <v>100</v>
      </c>
      <c r="D2" s="1">
        <v>100</v>
      </c>
      <c r="E2" s="1">
        <v>100</v>
      </c>
      <c r="F2" s="1">
        <v>100</v>
      </c>
      <c r="G2" s="1">
        <v>100</v>
      </c>
      <c r="H2" s="1">
        <v>100</v>
      </c>
      <c r="I2" s="1">
        <v>100</v>
      </c>
      <c r="J2" s="1">
        <v>100</v>
      </c>
    </row>
    <row r="3" spans="1:12" x14ac:dyDescent="0.25">
      <c r="A3" t="s">
        <v>11</v>
      </c>
      <c r="B3">
        <v>175317</v>
      </c>
      <c r="C3" s="1">
        <v>73.3</v>
      </c>
      <c r="D3" s="1">
        <v>68.3</v>
      </c>
      <c r="E3" s="1">
        <v>85.9</v>
      </c>
      <c r="F3" s="1">
        <v>62.4</v>
      </c>
      <c r="G3" s="1" t="s">
        <v>12</v>
      </c>
      <c r="H3" s="1" t="s">
        <v>12</v>
      </c>
      <c r="I3" s="1" t="s">
        <v>12</v>
      </c>
      <c r="J3" s="1">
        <v>48</v>
      </c>
      <c r="K3" s="2">
        <f>MIN(C3:I3)</f>
        <v>62.4</v>
      </c>
      <c r="L3" s="2" t="str">
        <f>IF(J3&gt;K3,J3,"")</f>
        <v/>
      </c>
    </row>
    <row r="4" spans="1:12" x14ac:dyDescent="0.25">
      <c r="A4" t="s">
        <v>13</v>
      </c>
      <c r="B4">
        <v>201689</v>
      </c>
      <c r="C4" s="1">
        <v>43.3</v>
      </c>
      <c r="D4" s="1">
        <v>96.3</v>
      </c>
      <c r="E4" s="1">
        <v>96.5</v>
      </c>
      <c r="F4" s="1">
        <v>89.4</v>
      </c>
      <c r="G4" s="1" t="s">
        <v>12</v>
      </c>
      <c r="H4" s="1" t="s">
        <v>12</v>
      </c>
      <c r="I4" s="1" t="s">
        <v>12</v>
      </c>
      <c r="J4" s="1">
        <v>84</v>
      </c>
      <c r="K4" s="2">
        <f t="shared" ref="K4:K56" si="0">MIN(C4:I4)</f>
        <v>43.3</v>
      </c>
      <c r="L4" s="2">
        <f t="shared" ref="L4:L56" si="1">IF(J4&gt;K4,J4,"")</f>
        <v>84</v>
      </c>
    </row>
    <row r="5" spans="1:12" x14ac:dyDescent="0.25">
      <c r="A5" t="s">
        <v>14</v>
      </c>
      <c r="B5">
        <v>393462</v>
      </c>
      <c r="C5" s="1">
        <v>30</v>
      </c>
      <c r="D5" s="1">
        <v>39</v>
      </c>
      <c r="E5" s="1">
        <v>28.2</v>
      </c>
      <c r="F5" s="1">
        <v>50.6</v>
      </c>
      <c r="G5" s="1" t="s">
        <v>12</v>
      </c>
      <c r="H5" s="1" t="s">
        <v>12</v>
      </c>
      <c r="I5" s="1" t="s">
        <v>12</v>
      </c>
      <c r="J5" s="1">
        <v>42</v>
      </c>
      <c r="K5" s="2">
        <f t="shared" si="0"/>
        <v>28.2</v>
      </c>
      <c r="L5" s="2">
        <f t="shared" si="1"/>
        <v>42</v>
      </c>
    </row>
    <row r="6" spans="1:12" x14ac:dyDescent="0.25">
      <c r="A6" t="s">
        <v>15</v>
      </c>
      <c r="B6">
        <v>459381</v>
      </c>
      <c r="C6" s="1">
        <v>33.299999999999997</v>
      </c>
      <c r="D6" s="1">
        <v>48.8</v>
      </c>
      <c r="E6" s="1">
        <v>47.1</v>
      </c>
      <c r="F6" s="1">
        <v>77.599999999999994</v>
      </c>
      <c r="G6" s="1" t="s">
        <v>12</v>
      </c>
      <c r="H6" s="1" t="s">
        <v>12</v>
      </c>
      <c r="I6" s="1" t="s">
        <v>12</v>
      </c>
      <c r="J6" s="1">
        <v>56</v>
      </c>
      <c r="K6" s="2">
        <f t="shared" si="0"/>
        <v>33.299999999999997</v>
      </c>
      <c r="L6" s="2">
        <f t="shared" si="1"/>
        <v>56</v>
      </c>
    </row>
    <row r="7" spans="1:12" x14ac:dyDescent="0.25">
      <c r="A7" t="s">
        <v>16</v>
      </c>
      <c r="B7">
        <v>454593</v>
      </c>
      <c r="C7" s="1" t="s">
        <v>17</v>
      </c>
      <c r="D7" s="1">
        <v>59.8</v>
      </c>
      <c r="E7" s="1">
        <v>58.8</v>
      </c>
      <c r="F7" s="1">
        <v>58.8</v>
      </c>
      <c r="G7" s="1">
        <v>82.1</v>
      </c>
      <c r="H7" s="1" t="s">
        <v>12</v>
      </c>
      <c r="I7" s="1" t="s">
        <v>12</v>
      </c>
      <c r="J7" s="1">
        <v>48</v>
      </c>
      <c r="K7" s="2">
        <f t="shared" si="0"/>
        <v>58.8</v>
      </c>
      <c r="L7" s="2" t="str">
        <f t="shared" si="1"/>
        <v/>
      </c>
    </row>
    <row r="8" spans="1:12" x14ac:dyDescent="0.25">
      <c r="A8" t="s">
        <v>18</v>
      </c>
      <c r="B8">
        <v>52601</v>
      </c>
      <c r="C8" s="1">
        <v>20</v>
      </c>
      <c r="D8" s="1">
        <v>50</v>
      </c>
      <c r="E8" s="1">
        <v>89.4</v>
      </c>
      <c r="F8" s="1">
        <v>64.7</v>
      </c>
      <c r="G8" s="1" t="s">
        <v>12</v>
      </c>
      <c r="H8" s="1" t="s">
        <v>12</v>
      </c>
      <c r="I8" s="1" t="s">
        <v>12</v>
      </c>
      <c r="J8" s="1">
        <v>70</v>
      </c>
      <c r="K8" s="2">
        <f t="shared" si="0"/>
        <v>20</v>
      </c>
      <c r="L8" s="2">
        <f t="shared" si="1"/>
        <v>70</v>
      </c>
    </row>
    <row r="9" spans="1:12" x14ac:dyDescent="0.25">
      <c r="A9" t="s">
        <v>19</v>
      </c>
      <c r="B9">
        <v>262951</v>
      </c>
      <c r="C9" s="1">
        <v>50</v>
      </c>
      <c r="D9" s="1">
        <v>75.599999999999994</v>
      </c>
      <c r="E9" s="1">
        <v>62.4</v>
      </c>
      <c r="F9" s="1">
        <v>61.2</v>
      </c>
      <c r="G9" s="1" t="s">
        <v>12</v>
      </c>
      <c r="H9" s="1" t="s">
        <v>12</v>
      </c>
      <c r="I9" s="1" t="s">
        <v>12</v>
      </c>
      <c r="J9" s="1">
        <v>58</v>
      </c>
      <c r="K9" s="2">
        <f t="shared" si="0"/>
        <v>50</v>
      </c>
      <c r="L9" s="2">
        <f t="shared" si="1"/>
        <v>58</v>
      </c>
    </row>
    <row r="10" spans="1:12" x14ac:dyDescent="0.25">
      <c r="A10" t="s">
        <v>20</v>
      </c>
      <c r="B10">
        <v>363178</v>
      </c>
      <c r="C10" s="1">
        <v>30</v>
      </c>
      <c r="D10" s="1">
        <v>46.3</v>
      </c>
      <c r="E10" s="1">
        <v>57.6</v>
      </c>
      <c r="F10" s="1">
        <v>49.4</v>
      </c>
      <c r="G10" s="1" t="s">
        <v>12</v>
      </c>
      <c r="H10" s="1" t="s">
        <v>12</v>
      </c>
      <c r="I10" s="1" t="s">
        <v>12</v>
      </c>
      <c r="J10" s="1">
        <v>34</v>
      </c>
      <c r="K10" s="2">
        <f t="shared" si="0"/>
        <v>30</v>
      </c>
      <c r="L10" s="2">
        <f t="shared" si="1"/>
        <v>34</v>
      </c>
    </row>
    <row r="11" spans="1:12" x14ac:dyDescent="0.25">
      <c r="A11" t="s">
        <v>21</v>
      </c>
      <c r="B11">
        <v>402386</v>
      </c>
      <c r="C11" s="1">
        <v>80</v>
      </c>
      <c r="D11" s="1">
        <v>95.1</v>
      </c>
      <c r="E11" s="1">
        <v>75.3</v>
      </c>
      <c r="F11" s="1">
        <v>22.4</v>
      </c>
      <c r="G11" s="1" t="s">
        <v>12</v>
      </c>
      <c r="H11" s="1" t="s">
        <v>12</v>
      </c>
      <c r="I11" s="1" t="s">
        <v>12</v>
      </c>
      <c r="J11" s="1">
        <v>32</v>
      </c>
      <c r="K11" s="2">
        <f t="shared" si="0"/>
        <v>22.4</v>
      </c>
      <c r="L11" s="2">
        <f t="shared" si="1"/>
        <v>32</v>
      </c>
    </row>
    <row r="12" spans="1:12" x14ac:dyDescent="0.25">
      <c r="A12" t="s">
        <v>22</v>
      </c>
      <c r="B12">
        <v>219842</v>
      </c>
      <c r="C12" s="1">
        <v>26.7</v>
      </c>
      <c r="D12" s="1">
        <v>0</v>
      </c>
      <c r="E12" s="1">
        <v>82.4</v>
      </c>
      <c r="F12" s="1">
        <v>23.5</v>
      </c>
      <c r="G12" s="1" t="s">
        <v>12</v>
      </c>
      <c r="H12" s="1" t="s">
        <v>12</v>
      </c>
      <c r="I12" s="1" t="s">
        <v>12</v>
      </c>
      <c r="J12" s="1">
        <v>36</v>
      </c>
      <c r="K12" s="2">
        <f t="shared" si="0"/>
        <v>0</v>
      </c>
      <c r="L12" s="2">
        <f t="shared" si="1"/>
        <v>36</v>
      </c>
    </row>
    <row r="13" spans="1:12" x14ac:dyDescent="0.25">
      <c r="A13" t="s">
        <v>23</v>
      </c>
      <c r="B13">
        <v>455057</v>
      </c>
      <c r="C13" s="1">
        <v>20</v>
      </c>
      <c r="D13" s="1">
        <v>35.4</v>
      </c>
      <c r="E13" s="1">
        <v>27.1</v>
      </c>
      <c r="F13" s="1">
        <v>48.2</v>
      </c>
      <c r="G13" s="1" t="s">
        <v>12</v>
      </c>
      <c r="H13" s="1" t="s">
        <v>12</v>
      </c>
      <c r="I13" s="1" t="s">
        <v>12</v>
      </c>
      <c r="J13" s="1">
        <v>0</v>
      </c>
      <c r="K13" s="2">
        <f t="shared" si="0"/>
        <v>20</v>
      </c>
      <c r="L13" s="2" t="str">
        <f t="shared" si="1"/>
        <v/>
      </c>
    </row>
    <row r="14" spans="1:12" x14ac:dyDescent="0.25">
      <c r="A14" t="s">
        <v>24</v>
      </c>
      <c r="B14">
        <v>421661</v>
      </c>
      <c r="C14" s="1">
        <v>46.7</v>
      </c>
      <c r="D14" s="1">
        <v>61</v>
      </c>
      <c r="E14" s="1">
        <v>52.9</v>
      </c>
      <c r="F14" s="1">
        <v>32.9</v>
      </c>
      <c r="G14" s="1" t="s">
        <v>12</v>
      </c>
      <c r="H14" s="1" t="s">
        <v>12</v>
      </c>
      <c r="I14" s="1" t="s">
        <v>12</v>
      </c>
      <c r="J14" s="1">
        <v>34</v>
      </c>
      <c r="K14" s="2">
        <f t="shared" si="0"/>
        <v>32.9</v>
      </c>
      <c r="L14" s="2">
        <f t="shared" si="1"/>
        <v>34</v>
      </c>
    </row>
    <row r="15" spans="1:12" x14ac:dyDescent="0.25">
      <c r="A15" t="s">
        <v>25</v>
      </c>
      <c r="B15">
        <v>450249</v>
      </c>
      <c r="C15" s="1">
        <v>33.299999999999997</v>
      </c>
      <c r="D15" s="1">
        <v>57.3</v>
      </c>
      <c r="E15" s="1">
        <v>50.6</v>
      </c>
      <c r="F15" s="1">
        <v>40</v>
      </c>
      <c r="G15" s="1" t="s">
        <v>12</v>
      </c>
      <c r="H15" s="1" t="s">
        <v>12</v>
      </c>
      <c r="I15" s="1" t="s">
        <v>12</v>
      </c>
      <c r="J15" s="1">
        <v>0</v>
      </c>
      <c r="K15" s="2">
        <f t="shared" si="0"/>
        <v>33.299999999999997</v>
      </c>
      <c r="L15" s="2" t="str">
        <f t="shared" si="1"/>
        <v/>
      </c>
    </row>
    <row r="16" spans="1:12" x14ac:dyDescent="0.25">
      <c r="A16" t="s">
        <v>26</v>
      </c>
      <c r="B16">
        <v>71463</v>
      </c>
      <c r="C16" s="1">
        <v>66.7</v>
      </c>
      <c r="D16" s="1">
        <v>69.5</v>
      </c>
      <c r="E16" s="1">
        <v>65.900000000000006</v>
      </c>
      <c r="F16" s="1">
        <v>65.900000000000006</v>
      </c>
      <c r="G16" s="1" t="s">
        <v>12</v>
      </c>
      <c r="H16" s="1" t="s">
        <v>12</v>
      </c>
      <c r="I16" s="1" t="s">
        <v>12</v>
      </c>
      <c r="J16" s="1">
        <v>52</v>
      </c>
      <c r="K16" s="2">
        <f t="shared" si="0"/>
        <v>65.900000000000006</v>
      </c>
      <c r="L16" s="2" t="str">
        <f t="shared" si="1"/>
        <v/>
      </c>
    </row>
    <row r="17" spans="1:12" x14ac:dyDescent="0.25">
      <c r="A17" t="s">
        <v>27</v>
      </c>
      <c r="B17">
        <v>57112</v>
      </c>
      <c r="C17" s="1">
        <v>53.3</v>
      </c>
      <c r="D17" s="1">
        <v>67.099999999999994</v>
      </c>
      <c r="E17" s="1">
        <v>89.4</v>
      </c>
      <c r="F17" s="1">
        <v>81.2</v>
      </c>
      <c r="G17" s="1" t="s">
        <v>12</v>
      </c>
      <c r="H17" s="1" t="s">
        <v>12</v>
      </c>
      <c r="I17" s="1" t="s">
        <v>12</v>
      </c>
      <c r="J17" s="1">
        <v>52</v>
      </c>
      <c r="K17" s="2">
        <f t="shared" si="0"/>
        <v>53.3</v>
      </c>
      <c r="L17" s="2" t="str">
        <f t="shared" si="1"/>
        <v/>
      </c>
    </row>
    <row r="18" spans="1:12" x14ac:dyDescent="0.25">
      <c r="A18" t="s">
        <v>28</v>
      </c>
      <c r="B18">
        <v>63765</v>
      </c>
      <c r="C18" s="1">
        <v>40</v>
      </c>
      <c r="D18" s="1">
        <v>31.7</v>
      </c>
      <c r="E18" s="1">
        <v>38.799999999999997</v>
      </c>
      <c r="F18" s="1">
        <v>0</v>
      </c>
      <c r="G18" s="1" t="s">
        <v>12</v>
      </c>
      <c r="H18" s="1" t="s">
        <v>12</v>
      </c>
      <c r="I18" s="1" t="s">
        <v>12</v>
      </c>
      <c r="J18" s="1">
        <v>32</v>
      </c>
      <c r="K18" s="2">
        <f t="shared" si="0"/>
        <v>0</v>
      </c>
      <c r="L18" s="2">
        <f t="shared" si="1"/>
        <v>32</v>
      </c>
    </row>
    <row r="19" spans="1:12" x14ac:dyDescent="0.25">
      <c r="A19" t="s">
        <v>29</v>
      </c>
      <c r="B19">
        <v>245634</v>
      </c>
      <c r="C19" s="1">
        <v>50</v>
      </c>
      <c r="D19" s="1">
        <v>45.1</v>
      </c>
      <c r="E19" s="1">
        <v>0</v>
      </c>
      <c r="F19" s="1">
        <v>0</v>
      </c>
      <c r="G19" s="1" t="s">
        <v>12</v>
      </c>
      <c r="H19" s="1" t="s">
        <v>12</v>
      </c>
      <c r="I19" s="1" t="s">
        <v>12</v>
      </c>
      <c r="J19" s="1">
        <v>30</v>
      </c>
      <c r="K19" s="2">
        <f t="shared" si="0"/>
        <v>0</v>
      </c>
      <c r="L19" s="2">
        <f t="shared" si="1"/>
        <v>30</v>
      </c>
    </row>
    <row r="20" spans="1:12" x14ac:dyDescent="0.25">
      <c r="A20" t="s">
        <v>30</v>
      </c>
      <c r="B20">
        <v>276149</v>
      </c>
      <c r="C20" s="1">
        <v>63.3</v>
      </c>
      <c r="D20" s="1">
        <v>59.8</v>
      </c>
      <c r="E20" s="1">
        <v>63.5</v>
      </c>
      <c r="F20" s="1">
        <v>45</v>
      </c>
      <c r="G20" s="1" t="s">
        <v>12</v>
      </c>
      <c r="H20" s="1" t="s">
        <v>17</v>
      </c>
      <c r="I20" s="1" t="s">
        <v>12</v>
      </c>
      <c r="J20" s="1">
        <v>48</v>
      </c>
      <c r="K20" s="2">
        <f t="shared" si="0"/>
        <v>45</v>
      </c>
      <c r="L20" s="2">
        <f t="shared" si="1"/>
        <v>48</v>
      </c>
    </row>
    <row r="21" spans="1:12" x14ac:dyDescent="0.25">
      <c r="A21" t="s">
        <v>31</v>
      </c>
      <c r="B21">
        <v>200406</v>
      </c>
      <c r="C21" s="1">
        <v>23.3</v>
      </c>
      <c r="D21" s="1">
        <v>52.4</v>
      </c>
      <c r="E21" s="1">
        <v>45.9</v>
      </c>
      <c r="F21" s="1">
        <v>23.5</v>
      </c>
      <c r="G21" s="1" t="s">
        <v>12</v>
      </c>
      <c r="H21" s="1" t="s">
        <v>12</v>
      </c>
      <c r="I21" s="1" t="s">
        <v>12</v>
      </c>
      <c r="J21" s="1">
        <v>32</v>
      </c>
      <c r="K21" s="2">
        <f t="shared" si="0"/>
        <v>23.3</v>
      </c>
      <c r="L21" s="2">
        <f t="shared" si="1"/>
        <v>32</v>
      </c>
    </row>
    <row r="22" spans="1:12" x14ac:dyDescent="0.25">
      <c r="A22" t="s">
        <v>32</v>
      </c>
      <c r="B22">
        <v>350136</v>
      </c>
      <c r="C22" s="1">
        <v>46.7</v>
      </c>
      <c r="D22" s="1">
        <v>57.3</v>
      </c>
      <c r="E22" s="1">
        <v>32.9</v>
      </c>
      <c r="F22" s="1">
        <v>28.2</v>
      </c>
      <c r="G22" s="1" t="s">
        <v>12</v>
      </c>
      <c r="H22" s="1" t="s">
        <v>12</v>
      </c>
      <c r="I22" s="1" t="s">
        <v>12</v>
      </c>
      <c r="J22" s="1">
        <v>28</v>
      </c>
      <c r="K22" s="2">
        <f t="shared" si="0"/>
        <v>28.2</v>
      </c>
      <c r="L22" s="2" t="str">
        <f t="shared" si="1"/>
        <v/>
      </c>
    </row>
    <row r="23" spans="1:12" x14ac:dyDescent="0.25">
      <c r="A23" t="s">
        <v>33</v>
      </c>
      <c r="B23">
        <v>420243</v>
      </c>
      <c r="C23" s="1">
        <v>43.3</v>
      </c>
      <c r="D23" s="1">
        <v>56.1</v>
      </c>
      <c r="E23" s="1">
        <v>35.299999999999997</v>
      </c>
      <c r="F23" s="1">
        <v>54.1</v>
      </c>
      <c r="G23" s="1" t="s">
        <v>12</v>
      </c>
      <c r="H23" s="1" t="s">
        <v>12</v>
      </c>
      <c r="I23" s="1" t="s">
        <v>12</v>
      </c>
      <c r="J23" s="1">
        <v>30</v>
      </c>
      <c r="K23" s="2">
        <f t="shared" si="0"/>
        <v>35.299999999999997</v>
      </c>
      <c r="L23" s="2" t="str">
        <f t="shared" si="1"/>
        <v/>
      </c>
    </row>
    <row r="24" spans="1:12" x14ac:dyDescent="0.25">
      <c r="A24" t="s">
        <v>34</v>
      </c>
      <c r="B24">
        <v>317763</v>
      </c>
      <c r="C24" s="1">
        <v>56.7</v>
      </c>
      <c r="D24" s="1">
        <v>79.3</v>
      </c>
      <c r="E24" s="1">
        <v>68.2</v>
      </c>
      <c r="F24" s="1">
        <v>42.4</v>
      </c>
      <c r="G24" s="1" t="s">
        <v>12</v>
      </c>
      <c r="H24" s="1" t="s">
        <v>12</v>
      </c>
      <c r="I24" s="1" t="s">
        <v>12</v>
      </c>
      <c r="J24" s="1">
        <v>52</v>
      </c>
      <c r="K24" s="2">
        <f t="shared" si="0"/>
        <v>42.4</v>
      </c>
      <c r="L24" s="2">
        <f t="shared" si="1"/>
        <v>52</v>
      </c>
    </row>
    <row r="25" spans="1:12" x14ac:dyDescent="0.25">
      <c r="A25" t="s">
        <v>35</v>
      </c>
      <c r="B25">
        <v>426570</v>
      </c>
      <c r="C25" s="1" t="s">
        <v>17</v>
      </c>
      <c r="D25" s="1">
        <v>86.6</v>
      </c>
      <c r="E25" s="1">
        <v>85.9</v>
      </c>
      <c r="F25" s="1">
        <v>77.599999999999994</v>
      </c>
      <c r="G25" s="1">
        <v>89.2</v>
      </c>
      <c r="H25" s="1" t="s">
        <v>12</v>
      </c>
      <c r="I25" s="1" t="s">
        <v>12</v>
      </c>
      <c r="J25" s="1">
        <v>58</v>
      </c>
      <c r="K25" s="2">
        <f t="shared" si="0"/>
        <v>77.599999999999994</v>
      </c>
      <c r="L25" s="2" t="str">
        <f t="shared" si="1"/>
        <v/>
      </c>
    </row>
    <row r="26" spans="1:12" x14ac:dyDescent="0.25">
      <c r="A26" t="s">
        <v>36</v>
      </c>
      <c r="B26">
        <v>368972</v>
      </c>
      <c r="C26" s="1">
        <v>53.3</v>
      </c>
      <c r="D26" s="1">
        <v>37.799999999999997</v>
      </c>
      <c r="E26" s="1">
        <v>0</v>
      </c>
      <c r="F26" s="1">
        <v>0</v>
      </c>
      <c r="G26" s="1" t="s">
        <v>12</v>
      </c>
      <c r="H26" s="1" t="s">
        <v>12</v>
      </c>
      <c r="I26" s="1" t="s">
        <v>12</v>
      </c>
      <c r="J26" s="1">
        <v>0</v>
      </c>
      <c r="K26" s="2">
        <f t="shared" si="0"/>
        <v>0</v>
      </c>
      <c r="L26" s="2" t="str">
        <f t="shared" si="1"/>
        <v/>
      </c>
    </row>
    <row r="27" spans="1:12" x14ac:dyDescent="0.25">
      <c r="A27" t="s">
        <v>37</v>
      </c>
      <c r="B27">
        <v>406119</v>
      </c>
      <c r="C27" s="1">
        <v>50</v>
      </c>
      <c r="D27" s="1">
        <v>37.799999999999997</v>
      </c>
      <c r="E27" s="1">
        <v>28.2</v>
      </c>
      <c r="F27" s="1">
        <v>36.5</v>
      </c>
      <c r="G27" s="1" t="s">
        <v>12</v>
      </c>
      <c r="H27" s="1" t="s">
        <v>12</v>
      </c>
      <c r="I27" s="1" t="s">
        <v>12</v>
      </c>
      <c r="J27" s="1">
        <v>30</v>
      </c>
      <c r="K27" s="2">
        <f t="shared" si="0"/>
        <v>28.2</v>
      </c>
      <c r="L27" s="2">
        <f t="shared" si="1"/>
        <v>30</v>
      </c>
    </row>
    <row r="28" spans="1:12" x14ac:dyDescent="0.25">
      <c r="A28" t="s">
        <v>38</v>
      </c>
      <c r="B28">
        <v>342904</v>
      </c>
      <c r="C28" s="1">
        <v>43.3</v>
      </c>
      <c r="D28" s="1">
        <v>69.5</v>
      </c>
      <c r="E28" s="1" t="s">
        <v>17</v>
      </c>
      <c r="F28" s="1">
        <v>51.8</v>
      </c>
      <c r="G28" s="1" t="s">
        <v>12</v>
      </c>
      <c r="H28" s="1" t="s">
        <v>12</v>
      </c>
      <c r="I28" s="1">
        <v>40</v>
      </c>
      <c r="J28" s="1">
        <v>46</v>
      </c>
      <c r="K28" s="2">
        <f t="shared" si="0"/>
        <v>40</v>
      </c>
      <c r="L28" s="2">
        <f t="shared" si="1"/>
        <v>46</v>
      </c>
    </row>
    <row r="29" spans="1:12" x14ac:dyDescent="0.25">
      <c r="A29" t="s">
        <v>39</v>
      </c>
      <c r="B29">
        <v>172013</v>
      </c>
      <c r="C29" s="1">
        <v>63.3</v>
      </c>
      <c r="D29" s="1">
        <v>57.3</v>
      </c>
      <c r="E29" s="1">
        <v>41.2</v>
      </c>
      <c r="F29" s="1">
        <v>38.799999999999997</v>
      </c>
      <c r="G29" s="1" t="s">
        <v>12</v>
      </c>
      <c r="H29" s="1" t="s">
        <v>12</v>
      </c>
      <c r="I29" s="1" t="s">
        <v>12</v>
      </c>
      <c r="J29" s="1">
        <v>50</v>
      </c>
      <c r="K29" s="2">
        <f t="shared" si="0"/>
        <v>38.799999999999997</v>
      </c>
      <c r="L29" s="2">
        <f t="shared" si="1"/>
        <v>50</v>
      </c>
    </row>
    <row r="30" spans="1:12" x14ac:dyDescent="0.25">
      <c r="A30" t="s">
        <v>40</v>
      </c>
      <c r="B30">
        <v>113446</v>
      </c>
      <c r="C30" s="1">
        <v>46.7</v>
      </c>
      <c r="D30" s="1">
        <v>63.4</v>
      </c>
      <c r="E30" s="1">
        <v>35.299999999999997</v>
      </c>
      <c r="F30" s="1">
        <v>12.9</v>
      </c>
      <c r="G30" s="1" t="s">
        <v>12</v>
      </c>
      <c r="H30" s="1" t="s">
        <v>12</v>
      </c>
      <c r="I30" s="1" t="s">
        <v>12</v>
      </c>
      <c r="J30" s="1">
        <v>0</v>
      </c>
      <c r="K30" s="2">
        <f t="shared" si="0"/>
        <v>12.9</v>
      </c>
      <c r="L30" s="2" t="str">
        <f t="shared" si="1"/>
        <v/>
      </c>
    </row>
    <row r="31" spans="1:12" x14ac:dyDescent="0.25">
      <c r="A31" t="s">
        <v>41</v>
      </c>
      <c r="B31">
        <v>400847</v>
      </c>
      <c r="C31" s="1">
        <v>50</v>
      </c>
      <c r="D31" s="1">
        <v>0</v>
      </c>
      <c r="E31" s="1">
        <v>0</v>
      </c>
      <c r="F31" s="1">
        <v>0</v>
      </c>
      <c r="G31" s="1" t="s">
        <v>12</v>
      </c>
      <c r="H31" s="1" t="s">
        <v>12</v>
      </c>
      <c r="I31" s="1" t="s">
        <v>12</v>
      </c>
      <c r="J31" s="1">
        <v>0</v>
      </c>
      <c r="K31" s="2">
        <f t="shared" si="0"/>
        <v>0</v>
      </c>
      <c r="L31" s="2" t="str">
        <f t="shared" si="1"/>
        <v/>
      </c>
    </row>
    <row r="32" spans="1:12" x14ac:dyDescent="0.25">
      <c r="A32" t="s">
        <v>42</v>
      </c>
      <c r="B32">
        <v>416761</v>
      </c>
      <c r="C32" s="1">
        <v>70</v>
      </c>
      <c r="D32" s="1">
        <v>70.7</v>
      </c>
      <c r="E32" s="1">
        <v>71.8</v>
      </c>
      <c r="F32" s="1">
        <v>61.2</v>
      </c>
      <c r="G32" s="1" t="s">
        <v>12</v>
      </c>
      <c r="H32" s="1" t="s">
        <v>12</v>
      </c>
      <c r="I32" s="1" t="s">
        <v>12</v>
      </c>
      <c r="J32" s="1">
        <v>42</v>
      </c>
      <c r="K32" s="2">
        <f t="shared" si="0"/>
        <v>61.2</v>
      </c>
      <c r="L32" s="2" t="str">
        <f>IF(J32&gt;K32,J32,"")</f>
        <v/>
      </c>
    </row>
    <row r="33" spans="1:12" x14ac:dyDescent="0.25">
      <c r="A33" t="s">
        <v>43</v>
      </c>
      <c r="B33">
        <v>354430</v>
      </c>
      <c r="C33" s="1">
        <v>33.299999999999997</v>
      </c>
      <c r="D33" s="1">
        <v>54.9</v>
      </c>
      <c r="E33" s="1">
        <v>48.2</v>
      </c>
      <c r="F33" s="1">
        <v>52.9</v>
      </c>
      <c r="G33" s="1" t="s">
        <v>12</v>
      </c>
      <c r="H33" s="1" t="s">
        <v>12</v>
      </c>
      <c r="I33" s="1" t="s">
        <v>12</v>
      </c>
      <c r="J33" s="1">
        <v>32</v>
      </c>
      <c r="K33" s="2">
        <f t="shared" si="0"/>
        <v>33.299999999999997</v>
      </c>
      <c r="L33" s="2" t="str">
        <f t="shared" si="1"/>
        <v/>
      </c>
    </row>
    <row r="34" spans="1:12" x14ac:dyDescent="0.25">
      <c r="A34" t="s">
        <v>44</v>
      </c>
      <c r="B34">
        <v>433708</v>
      </c>
      <c r="C34" s="1">
        <v>23.3</v>
      </c>
      <c r="D34" s="1">
        <v>46.3</v>
      </c>
      <c r="E34" s="1">
        <v>22.4</v>
      </c>
      <c r="F34" s="1">
        <v>31.8</v>
      </c>
      <c r="G34" s="1" t="s">
        <v>12</v>
      </c>
      <c r="H34" s="1" t="s">
        <v>12</v>
      </c>
      <c r="I34" s="1" t="s">
        <v>12</v>
      </c>
      <c r="J34" s="1">
        <v>30</v>
      </c>
      <c r="K34" s="2">
        <f t="shared" si="0"/>
        <v>22.4</v>
      </c>
      <c r="L34" s="2">
        <f t="shared" si="1"/>
        <v>30</v>
      </c>
    </row>
    <row r="35" spans="1:12" x14ac:dyDescent="0.25">
      <c r="A35" t="s">
        <v>45</v>
      </c>
      <c r="B35">
        <v>391867</v>
      </c>
      <c r="C35" s="1">
        <v>80</v>
      </c>
      <c r="D35" s="1">
        <v>75.599999999999994</v>
      </c>
      <c r="E35" s="1">
        <v>81.2</v>
      </c>
      <c r="F35" s="1">
        <v>64.7</v>
      </c>
      <c r="G35" s="1" t="s">
        <v>12</v>
      </c>
      <c r="H35" s="1" t="s">
        <v>12</v>
      </c>
      <c r="I35" s="1" t="s">
        <v>12</v>
      </c>
      <c r="J35" s="1">
        <v>44</v>
      </c>
      <c r="K35" s="2">
        <f t="shared" si="0"/>
        <v>64.7</v>
      </c>
      <c r="L35" s="2" t="str">
        <f t="shared" si="1"/>
        <v/>
      </c>
    </row>
    <row r="36" spans="1:12" x14ac:dyDescent="0.25">
      <c r="A36" t="s">
        <v>46</v>
      </c>
      <c r="B36">
        <v>342330</v>
      </c>
      <c r="C36" s="1" t="s">
        <v>17</v>
      </c>
      <c r="D36" s="1">
        <v>80.5</v>
      </c>
      <c r="E36" s="1">
        <v>71.8</v>
      </c>
      <c r="F36" s="1">
        <v>48.2</v>
      </c>
      <c r="G36" s="1">
        <v>82.9</v>
      </c>
      <c r="H36" s="1" t="s">
        <v>12</v>
      </c>
      <c r="I36" s="1" t="s">
        <v>12</v>
      </c>
      <c r="J36" s="1">
        <v>42</v>
      </c>
      <c r="K36" s="2">
        <f t="shared" si="0"/>
        <v>48.2</v>
      </c>
      <c r="L36" s="2" t="str">
        <f t="shared" si="1"/>
        <v/>
      </c>
    </row>
    <row r="37" spans="1:12" x14ac:dyDescent="0.25">
      <c r="A37" t="s">
        <v>47</v>
      </c>
      <c r="B37">
        <v>389426</v>
      </c>
      <c r="C37" s="1">
        <v>63.3</v>
      </c>
      <c r="D37" s="1">
        <v>65.900000000000006</v>
      </c>
      <c r="E37" s="1">
        <v>45.9</v>
      </c>
      <c r="F37" s="1">
        <v>45.9</v>
      </c>
      <c r="G37" s="1" t="s">
        <v>12</v>
      </c>
      <c r="H37" s="1" t="s">
        <v>12</v>
      </c>
      <c r="I37" s="1" t="s">
        <v>12</v>
      </c>
      <c r="J37" s="1">
        <v>34</v>
      </c>
      <c r="K37" s="2">
        <f t="shared" si="0"/>
        <v>45.9</v>
      </c>
      <c r="L37" s="2" t="str">
        <f t="shared" si="1"/>
        <v/>
      </c>
    </row>
    <row r="38" spans="1:12" x14ac:dyDescent="0.25">
      <c r="A38" t="s">
        <v>48</v>
      </c>
      <c r="B38">
        <v>421605</v>
      </c>
      <c r="C38" s="1">
        <v>73.3</v>
      </c>
      <c r="D38" s="1">
        <v>78</v>
      </c>
      <c r="E38" s="1">
        <v>78.8</v>
      </c>
      <c r="F38" s="1">
        <v>58.8</v>
      </c>
      <c r="G38" s="1" t="s">
        <v>12</v>
      </c>
      <c r="H38" s="1" t="s">
        <v>12</v>
      </c>
      <c r="I38" s="1" t="s">
        <v>12</v>
      </c>
      <c r="J38" s="1">
        <v>40</v>
      </c>
      <c r="K38" s="2">
        <f>MIN(C38:I38)</f>
        <v>58.8</v>
      </c>
      <c r="L38" s="2" t="str">
        <f t="shared" si="1"/>
        <v/>
      </c>
    </row>
    <row r="39" spans="1:12" x14ac:dyDescent="0.25">
      <c r="A39" t="s">
        <v>49</v>
      </c>
      <c r="B39">
        <v>78778</v>
      </c>
      <c r="C39" s="1" t="s">
        <v>17</v>
      </c>
      <c r="D39" s="1">
        <v>59.8</v>
      </c>
      <c r="E39" s="1">
        <v>75.3</v>
      </c>
      <c r="F39" s="1">
        <v>60</v>
      </c>
      <c r="G39" s="1">
        <v>73.400000000000006</v>
      </c>
      <c r="H39" s="1" t="s">
        <v>12</v>
      </c>
      <c r="I39" s="1" t="s">
        <v>12</v>
      </c>
      <c r="J39" s="1">
        <v>52</v>
      </c>
      <c r="K39" s="2">
        <f t="shared" si="0"/>
        <v>59.8</v>
      </c>
      <c r="L39" s="2" t="str">
        <f t="shared" si="1"/>
        <v/>
      </c>
    </row>
    <row r="40" spans="1:12" x14ac:dyDescent="0.25">
      <c r="A40" t="s">
        <v>50</v>
      </c>
      <c r="B40">
        <v>416407</v>
      </c>
      <c r="C40" s="1">
        <v>50</v>
      </c>
      <c r="D40" s="1">
        <v>57.3</v>
      </c>
      <c r="E40" s="1">
        <v>50.6</v>
      </c>
      <c r="F40" s="1">
        <v>38.799999999999997</v>
      </c>
      <c r="G40" s="1" t="s">
        <v>12</v>
      </c>
      <c r="H40" s="1" t="s">
        <v>12</v>
      </c>
      <c r="I40" s="1" t="s">
        <v>12</v>
      </c>
      <c r="J40" s="1">
        <v>36</v>
      </c>
      <c r="K40" s="2">
        <f t="shared" si="0"/>
        <v>38.799999999999997</v>
      </c>
      <c r="L40" s="2" t="str">
        <f t="shared" si="1"/>
        <v/>
      </c>
    </row>
    <row r="41" spans="1:12" x14ac:dyDescent="0.25">
      <c r="A41" t="s">
        <v>51</v>
      </c>
      <c r="B41">
        <v>228768</v>
      </c>
      <c r="C41" s="1">
        <v>46.7</v>
      </c>
      <c r="D41" s="1">
        <v>72</v>
      </c>
      <c r="E41" s="1">
        <v>67.099999999999994</v>
      </c>
      <c r="F41" s="1">
        <v>69.400000000000006</v>
      </c>
      <c r="G41" s="1" t="s">
        <v>12</v>
      </c>
      <c r="H41" s="1" t="s">
        <v>12</v>
      </c>
      <c r="I41" s="1" t="s">
        <v>17</v>
      </c>
      <c r="J41" s="1">
        <v>34</v>
      </c>
      <c r="K41" s="2">
        <f t="shared" si="0"/>
        <v>46.7</v>
      </c>
      <c r="L41" s="2" t="str">
        <f t="shared" si="1"/>
        <v/>
      </c>
    </row>
    <row r="42" spans="1:12" x14ac:dyDescent="0.25">
      <c r="A42" t="s">
        <v>52</v>
      </c>
      <c r="B42">
        <v>152997</v>
      </c>
      <c r="C42" s="1">
        <v>43.3</v>
      </c>
      <c r="D42" s="1">
        <v>41.5</v>
      </c>
      <c r="E42" s="1">
        <v>38.799999999999997</v>
      </c>
      <c r="F42" s="1">
        <v>0</v>
      </c>
      <c r="G42" s="1" t="s">
        <v>12</v>
      </c>
      <c r="H42" s="1" t="s">
        <v>12</v>
      </c>
      <c r="I42" s="1" t="s">
        <v>12</v>
      </c>
      <c r="J42" s="1">
        <v>0</v>
      </c>
      <c r="K42" s="2">
        <f t="shared" si="0"/>
        <v>0</v>
      </c>
      <c r="L42" s="2" t="str">
        <f t="shared" si="1"/>
        <v/>
      </c>
    </row>
    <row r="43" spans="1:12" x14ac:dyDescent="0.25">
      <c r="A43" t="s">
        <v>53</v>
      </c>
      <c r="B43">
        <v>8777</v>
      </c>
      <c r="C43" s="1" t="s">
        <v>17</v>
      </c>
      <c r="D43" s="1">
        <v>72</v>
      </c>
      <c r="E43" s="1">
        <v>62.4</v>
      </c>
      <c r="F43" s="1">
        <v>65.900000000000006</v>
      </c>
      <c r="G43" s="1">
        <v>79.7</v>
      </c>
      <c r="H43" s="1" t="s">
        <v>12</v>
      </c>
      <c r="I43" s="1" t="s">
        <v>12</v>
      </c>
      <c r="J43" s="1">
        <v>42</v>
      </c>
      <c r="K43" s="2">
        <f t="shared" si="0"/>
        <v>62.4</v>
      </c>
      <c r="L43" s="2" t="str">
        <f t="shared" si="1"/>
        <v/>
      </c>
    </row>
    <row r="44" spans="1:12" x14ac:dyDescent="0.25">
      <c r="A44" t="s">
        <v>54</v>
      </c>
      <c r="B44">
        <v>283437</v>
      </c>
      <c r="C44" s="1" t="s">
        <v>17</v>
      </c>
      <c r="D44" s="1">
        <v>69.5</v>
      </c>
      <c r="E44" s="1">
        <v>47.1</v>
      </c>
      <c r="F44" s="1">
        <v>54.1</v>
      </c>
      <c r="G44" s="1">
        <v>74.099999999999994</v>
      </c>
      <c r="H44" s="1" t="s">
        <v>12</v>
      </c>
      <c r="I44" s="1" t="s">
        <v>12</v>
      </c>
      <c r="J44" s="1">
        <v>42</v>
      </c>
      <c r="K44" s="2">
        <f t="shared" si="0"/>
        <v>47.1</v>
      </c>
      <c r="L44" s="2" t="str">
        <f t="shared" si="1"/>
        <v/>
      </c>
    </row>
    <row r="45" spans="1:12" x14ac:dyDescent="0.25">
      <c r="A45" t="s">
        <v>55</v>
      </c>
      <c r="B45">
        <v>419510</v>
      </c>
      <c r="C45" s="1">
        <v>43.3</v>
      </c>
      <c r="D45" s="1">
        <v>70.7</v>
      </c>
      <c r="E45" s="1">
        <v>44.7</v>
      </c>
      <c r="F45" s="1">
        <v>43.5</v>
      </c>
      <c r="G45" s="1" t="s">
        <v>12</v>
      </c>
      <c r="H45" s="1" t="s">
        <v>12</v>
      </c>
      <c r="I45" s="1" t="s">
        <v>12</v>
      </c>
      <c r="J45" s="1">
        <v>44</v>
      </c>
      <c r="K45" s="2">
        <f t="shared" si="0"/>
        <v>43.3</v>
      </c>
      <c r="L45" s="2">
        <f t="shared" si="1"/>
        <v>44</v>
      </c>
    </row>
    <row r="46" spans="1:12" x14ac:dyDescent="0.25">
      <c r="A46" t="s">
        <v>56</v>
      </c>
      <c r="B46">
        <v>323890</v>
      </c>
      <c r="C46" s="1">
        <v>46.7</v>
      </c>
      <c r="D46" s="1">
        <v>12.2</v>
      </c>
      <c r="E46" s="1">
        <v>83.5</v>
      </c>
      <c r="F46" s="1">
        <v>90.6</v>
      </c>
      <c r="G46" s="1" t="s">
        <v>12</v>
      </c>
      <c r="H46" s="1" t="s">
        <v>12</v>
      </c>
      <c r="I46" s="1" t="s">
        <v>12</v>
      </c>
      <c r="J46" s="1">
        <v>78</v>
      </c>
      <c r="K46" s="2">
        <f t="shared" si="0"/>
        <v>12.2</v>
      </c>
      <c r="L46" s="2">
        <f t="shared" si="1"/>
        <v>78</v>
      </c>
    </row>
    <row r="47" spans="1:12" x14ac:dyDescent="0.25">
      <c r="A47" t="s">
        <v>57</v>
      </c>
      <c r="B47">
        <v>427030</v>
      </c>
      <c r="C47" s="1" t="s">
        <v>17</v>
      </c>
      <c r="D47" s="1">
        <v>68.3</v>
      </c>
      <c r="E47" s="1">
        <v>74.099999999999994</v>
      </c>
      <c r="F47" s="1">
        <v>70.599999999999994</v>
      </c>
      <c r="G47" s="1">
        <v>84.5</v>
      </c>
      <c r="H47" s="1" t="s">
        <v>12</v>
      </c>
      <c r="I47" s="1" t="s">
        <v>12</v>
      </c>
      <c r="J47" s="1">
        <v>46</v>
      </c>
      <c r="K47" s="2">
        <f t="shared" si="0"/>
        <v>68.3</v>
      </c>
      <c r="L47" s="2" t="str">
        <f t="shared" si="1"/>
        <v/>
      </c>
    </row>
    <row r="48" spans="1:12" x14ac:dyDescent="0.25">
      <c r="A48" t="s">
        <v>58</v>
      </c>
      <c r="B48">
        <v>399807</v>
      </c>
      <c r="C48" s="1">
        <v>60</v>
      </c>
      <c r="D48" s="1">
        <v>0</v>
      </c>
      <c r="E48" s="1">
        <v>47.1</v>
      </c>
      <c r="F48" s="1">
        <v>38.799999999999997</v>
      </c>
      <c r="G48" s="1" t="s">
        <v>12</v>
      </c>
      <c r="H48" s="1" t="s">
        <v>12</v>
      </c>
      <c r="I48" s="1" t="s">
        <v>12</v>
      </c>
      <c r="J48" s="1">
        <v>38</v>
      </c>
      <c r="K48" s="2">
        <f t="shared" si="0"/>
        <v>0</v>
      </c>
      <c r="L48" s="2">
        <f t="shared" si="1"/>
        <v>38</v>
      </c>
    </row>
    <row r="49" spans="1:12" x14ac:dyDescent="0.25">
      <c r="A49" t="s">
        <v>59</v>
      </c>
      <c r="B49">
        <v>266425</v>
      </c>
      <c r="C49" s="1">
        <v>43.3</v>
      </c>
      <c r="D49" s="1">
        <v>58.5</v>
      </c>
      <c r="E49" s="1">
        <v>51.8</v>
      </c>
      <c r="F49" s="1">
        <v>81.2</v>
      </c>
      <c r="G49" s="1" t="s">
        <v>12</v>
      </c>
      <c r="H49" s="1" t="s">
        <v>12</v>
      </c>
      <c r="I49" s="1" t="s">
        <v>17</v>
      </c>
      <c r="J49" s="1">
        <v>28</v>
      </c>
      <c r="K49" s="2">
        <f t="shared" si="0"/>
        <v>43.3</v>
      </c>
      <c r="L49" s="2" t="str">
        <f t="shared" si="1"/>
        <v/>
      </c>
    </row>
    <row r="50" spans="1:12" x14ac:dyDescent="0.25">
      <c r="A50" t="s">
        <v>60</v>
      </c>
      <c r="B50">
        <v>223588</v>
      </c>
      <c r="C50" s="1">
        <v>40</v>
      </c>
      <c r="D50" s="1" t="s">
        <v>17</v>
      </c>
      <c r="E50" s="1">
        <v>60</v>
      </c>
      <c r="F50" s="1">
        <v>48.2</v>
      </c>
      <c r="G50" s="1" t="s">
        <v>12</v>
      </c>
      <c r="H50" s="1">
        <v>54.1</v>
      </c>
      <c r="I50" s="1" t="s">
        <v>12</v>
      </c>
      <c r="J50" s="1">
        <v>22</v>
      </c>
      <c r="K50" s="2">
        <f t="shared" si="0"/>
        <v>40</v>
      </c>
      <c r="L50" s="2" t="str">
        <f t="shared" si="1"/>
        <v/>
      </c>
    </row>
    <row r="51" spans="1:12" x14ac:dyDescent="0.25">
      <c r="A51" t="s">
        <v>61</v>
      </c>
      <c r="B51">
        <v>457684</v>
      </c>
      <c r="C51" s="1">
        <v>93.3</v>
      </c>
      <c r="D51" s="1">
        <v>98.8</v>
      </c>
      <c r="E51" s="1">
        <v>96.5</v>
      </c>
      <c r="F51" s="1">
        <v>87.1</v>
      </c>
      <c r="G51" s="1" t="s">
        <v>12</v>
      </c>
      <c r="H51" s="1" t="s">
        <v>12</v>
      </c>
      <c r="I51" s="1" t="s">
        <v>12</v>
      </c>
      <c r="J51" s="1">
        <v>72</v>
      </c>
      <c r="K51" s="2">
        <f t="shared" si="0"/>
        <v>87.1</v>
      </c>
      <c r="L51" s="2" t="str">
        <f t="shared" si="1"/>
        <v/>
      </c>
    </row>
    <row r="52" spans="1:12" x14ac:dyDescent="0.25">
      <c r="A52" t="s">
        <v>62</v>
      </c>
      <c r="B52">
        <v>229934</v>
      </c>
      <c r="C52" s="1">
        <v>56.7</v>
      </c>
      <c r="D52" s="1">
        <v>64.599999999999994</v>
      </c>
      <c r="E52" s="1">
        <v>55.3</v>
      </c>
      <c r="F52" s="1">
        <v>36.5</v>
      </c>
      <c r="G52" s="1" t="s">
        <v>12</v>
      </c>
      <c r="H52" s="1" t="s">
        <v>12</v>
      </c>
      <c r="I52" s="1" t="s">
        <v>17</v>
      </c>
      <c r="J52" s="1">
        <v>32</v>
      </c>
      <c r="K52" s="2">
        <f t="shared" si="0"/>
        <v>36.5</v>
      </c>
      <c r="L52" s="2" t="str">
        <f t="shared" si="1"/>
        <v/>
      </c>
    </row>
    <row r="53" spans="1:12" x14ac:dyDescent="0.25">
      <c r="A53" t="s">
        <v>63</v>
      </c>
      <c r="B53">
        <v>49030</v>
      </c>
      <c r="C53" s="1">
        <v>36.700000000000003</v>
      </c>
      <c r="D53" s="1">
        <v>35.4</v>
      </c>
      <c r="E53" s="1">
        <v>57.6</v>
      </c>
      <c r="F53" s="1">
        <v>27.1</v>
      </c>
      <c r="G53" s="1" t="s">
        <v>12</v>
      </c>
      <c r="H53" s="1" t="s">
        <v>12</v>
      </c>
      <c r="I53" s="1" t="s">
        <v>12</v>
      </c>
      <c r="J53" s="1">
        <v>20</v>
      </c>
      <c r="K53" s="2">
        <f t="shared" si="0"/>
        <v>27.1</v>
      </c>
      <c r="L53" s="2" t="str">
        <f t="shared" si="1"/>
        <v/>
      </c>
    </row>
    <row r="54" spans="1:12" x14ac:dyDescent="0.25">
      <c r="A54" t="s">
        <v>64</v>
      </c>
      <c r="B54">
        <v>282679</v>
      </c>
      <c r="C54" s="1" t="s">
        <v>17</v>
      </c>
      <c r="D54" s="1">
        <v>43.9</v>
      </c>
      <c r="E54" s="1">
        <v>65.900000000000006</v>
      </c>
      <c r="F54" s="1">
        <v>48.2</v>
      </c>
      <c r="G54" s="1">
        <v>71.8</v>
      </c>
      <c r="H54" s="1" t="s">
        <v>12</v>
      </c>
      <c r="I54" s="1" t="s">
        <v>12</v>
      </c>
      <c r="J54" s="1">
        <v>32</v>
      </c>
      <c r="K54" s="2">
        <f t="shared" si="0"/>
        <v>43.9</v>
      </c>
      <c r="L54" s="2" t="str">
        <f t="shared" si="1"/>
        <v/>
      </c>
    </row>
    <row r="55" spans="1:12" x14ac:dyDescent="0.25">
      <c r="A55" t="s">
        <v>65</v>
      </c>
      <c r="B55">
        <v>367524</v>
      </c>
      <c r="C55" s="1">
        <v>43.3</v>
      </c>
      <c r="D55" s="1">
        <v>78</v>
      </c>
      <c r="E55" s="1" t="s">
        <v>17</v>
      </c>
      <c r="F55" s="1">
        <v>52.9</v>
      </c>
      <c r="G55" s="1" t="s">
        <v>12</v>
      </c>
      <c r="H55" s="1" t="s">
        <v>12</v>
      </c>
      <c r="I55" s="1">
        <v>76</v>
      </c>
      <c r="J55" s="1">
        <v>32</v>
      </c>
      <c r="K55" s="2">
        <f t="shared" si="0"/>
        <v>43.3</v>
      </c>
      <c r="L55" s="2" t="str">
        <f t="shared" si="1"/>
        <v/>
      </c>
    </row>
    <row r="56" spans="1:12" x14ac:dyDescent="0.25">
      <c r="A56" t="s">
        <v>66</v>
      </c>
      <c r="B56">
        <v>58366</v>
      </c>
      <c r="C56" s="1">
        <v>46.7</v>
      </c>
      <c r="D56" s="1">
        <v>61</v>
      </c>
      <c r="E56" s="1">
        <v>50.6</v>
      </c>
      <c r="F56" s="1">
        <v>23.5</v>
      </c>
      <c r="G56" s="1" t="s">
        <v>12</v>
      </c>
      <c r="H56" s="1" t="s">
        <v>12</v>
      </c>
      <c r="I56" s="1" t="s">
        <v>12</v>
      </c>
      <c r="J56" s="1">
        <v>38</v>
      </c>
      <c r="K56" s="2">
        <f t="shared" si="0"/>
        <v>23.5</v>
      </c>
      <c r="L56" s="2">
        <f t="shared" si="1"/>
        <v>38</v>
      </c>
    </row>
    <row r="57" spans="1:12" x14ac:dyDescent="0.25">
      <c r="A57" t="s">
        <v>67</v>
      </c>
      <c r="B57">
        <v>472475</v>
      </c>
      <c r="G57" s="1" t="s">
        <v>12</v>
      </c>
      <c r="H57" s="1" t="s">
        <v>12</v>
      </c>
      <c r="I57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2025-12-12T1501_Grades-CHEM-3A-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Mitch Halloran</cp:lastModifiedBy>
  <dcterms:created xsi:type="dcterms:W3CDTF">2025-12-12T23:07:40Z</dcterms:created>
  <dcterms:modified xsi:type="dcterms:W3CDTF">2025-12-13T19:10:27Z</dcterms:modified>
</cp:coreProperties>
</file>